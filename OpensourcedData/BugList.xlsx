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8_{1EC06F81-4D01-4C1A-8826-FE468B038B9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rch" sheetId="2" r:id="rId1"/>
    <sheet name="tensorflow" sheetId="4" r:id="rId2"/>
  </sheets>
  <definedNames>
    <definedName name="_xlnm._FilterDatabase" localSheetId="1" hidden="1">tensorflow!$A$1:$I$35</definedName>
    <definedName name="_xlnm._FilterDatabase" localSheetId="0" hidden="1">torch!$A$1:$M$52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4" l="1"/>
  <c r="J36" i="4"/>
  <c r="I35" i="4"/>
  <c r="I36" i="4"/>
  <c r="L52" i="2"/>
  <c r="M54" i="2"/>
  <c r="M53" i="2"/>
  <c r="J52" i="2"/>
  <c r="K55" i="2"/>
  <c r="L55" i="2"/>
  <c r="L54" i="2"/>
  <c r="K54" i="2"/>
  <c r="L53" i="2"/>
  <c r="K53" i="2"/>
  <c r="K52" i="2"/>
  <c r="J37" i="4"/>
  <c r="K37" i="4"/>
  <c r="I37" i="4"/>
  <c r="J35" i="4"/>
  <c r="K35" i="4"/>
</calcChain>
</file>

<file path=xl/sharedStrings.xml><?xml version="1.0" encoding="utf-8"?>
<sst xmlns="http://schemas.openxmlformats.org/spreadsheetml/2006/main" count="537" uniqueCount="385">
  <si>
    <t>torch.nn.Conv2d</t>
  </si>
  <si>
    <t>['torch.nn.Conv1d', 'torch.nn.LazyConv2d']</t>
  </si>
  <si>
    <t>['torch.nn.LazyConv2d']</t>
  </si>
  <si>
    <t>https://github.com/pytorch/pytorch/issues/61251</t>
  </si>
  <si>
    <t>torch.linalg.eig</t>
  </si>
  <si>
    <t>['torch.linalg.eigvals']</t>
  </si>
  <si>
    <t>https://github.com/pytorch/pytorch/issues/61656</t>
  </si>
  <si>
    <t>torch.median</t>
  </si>
  <si>
    <t>['torch.nanmedian']</t>
  </si>
  <si>
    <t>https://github.com/pytorch/pytorch/issues/63152</t>
  </si>
  <si>
    <t>torch.fft.rfft</t>
  </si>
  <si>
    <t>['torch.fft.rfftn', 'torch.fft.rfft2']</t>
  </si>
  <si>
    <t>torch.linalg.matrix_norm</t>
  </si>
  <si>
    <t>['torch.linalg.cond']</t>
  </si>
  <si>
    <t>https://github.com/pytorch/pytorch/issues/66402</t>
  </si>
  <si>
    <t>torch.isfinite</t>
  </si>
  <si>
    <t>['torch.Tensor.isfinite']</t>
  </si>
  <si>
    <t>torch.nn.MaxUnpool2d</t>
  </si>
  <si>
    <t>['torch.nn.MaxUnpool3d']</t>
  </si>
  <si>
    <t>torch.hsplit</t>
  </si>
  <si>
    <t>torch.movedim</t>
  </si>
  <si>
    <t>['torch.Tensor.movedim']</t>
  </si>
  <si>
    <t>https://github.com/pytorch/pytorch/issues/69518</t>
  </si>
  <si>
    <t>torch.addmm</t>
  </si>
  <si>
    <t>['torch.Tensor.addmm', 'torch.sparse.addmm']</t>
  </si>
  <si>
    <t>https://github.com/pytorch/pytorch/issues/69786</t>
  </si>
  <si>
    <t>torch.equal</t>
  </si>
  <si>
    <t>['torch.Tensor.is_set_to', 'torch.Tensor.equal']</t>
  </si>
  <si>
    <t>torch.nn.Dropout2d</t>
  </si>
  <si>
    <t>['torch.nn.Dropout3d']</t>
  </si>
  <si>
    <t>https://github.com/pytorch/pytorch/issues/70182</t>
  </si>
  <si>
    <t>torch.all</t>
  </si>
  <si>
    <t>['torch.any', 'torch.Tensor.all']</t>
  </si>
  <si>
    <t>https://github.com/pytorch/pytorch/issues/70486</t>
  </si>
  <si>
    <t>torch.addcmul</t>
  </si>
  <si>
    <t>https://github.com/pytorch/pytorch/issues/70523</t>
  </si>
  <si>
    <t>https://github.com/pytorch/pytorch/issues/70664</t>
  </si>
  <si>
    <t>torch.fft.rfft2</t>
  </si>
  <si>
    <t>['torch.fft.ifft']</t>
  </si>
  <si>
    <t>https://github.com/pytorch/pytorch/issues/70674</t>
  </si>
  <si>
    <t>torch.amax</t>
  </si>
  <si>
    <t>['torch.amin']</t>
  </si>
  <si>
    <t>https://github.com/pytorch/pytorch/issues/70675</t>
  </si>
  <si>
    <t>torch.index_select</t>
  </si>
  <si>
    <t>['torch.Tensor.index_select']</t>
  </si>
  <si>
    <t>https://github.com/pytorch/pytorch/issues/70954</t>
  </si>
  <si>
    <t>https://github.com/pytorch/pytorch/issues/71080</t>
  </si>
  <si>
    <t>torch.nn.functional.conv2d</t>
  </si>
  <si>
    <t>['torch.nn.functional.conv_transpose2d', 'torch.nn.functional.conv_transpose1d', 'torch.nn.functional.conv1d']</t>
  </si>
  <si>
    <t>https://github.com/pytorch/pytorch/issues/71636</t>
  </si>
  <si>
    <t>https://github.com/pytorch/pytorch/issues/72910</t>
  </si>
  <si>
    <t>torch.fft.irfft2</t>
  </si>
  <si>
    <t>https://github.com/pytorch/pytorch/issues/73628</t>
  </si>
  <si>
    <t>torch.kthvalue</t>
  </si>
  <si>
    <t>['torch.Tensor.kthvalue']</t>
  </si>
  <si>
    <t>https://github.com/pytorch/pytorch/issues/73840</t>
  </si>
  <si>
    <t>torch.nn.functional.max_pool1d</t>
  </si>
  <si>
    <t>https://github.com/pytorch/pytorch/issues/74487</t>
  </si>
  <si>
    <t>torch.scatter_add</t>
  </si>
  <si>
    <t>['torch.Tensor.scatter_add', 'torch.Tensor.scatter_add_']</t>
  </si>
  <si>
    <t>https://github.com/pytorch/pytorch/issues/75781</t>
  </si>
  <si>
    <t>torch.fft.irfft</t>
  </si>
  <si>
    <t>['torch.fft.ifftn']</t>
  </si>
  <si>
    <t>https://github.com/pytorch/pytorch/issues/76522</t>
  </si>
  <si>
    <t>torch.clamp</t>
  </si>
  <si>
    <t>['torch.Tensor.clamp']</t>
  </si>
  <si>
    <t>https://github.com/pytorch/pytorch/issues/76778</t>
  </si>
  <si>
    <t>torch.addmv</t>
  </si>
  <si>
    <t>https://github.com/pytorch/pytorch/issues/77415</t>
  </si>
  <si>
    <t>torch.nn.Linear</t>
  </si>
  <si>
    <t>['torch.nn.LazyLinear']</t>
  </si>
  <si>
    <t>https://github.com/pytorch/pytorch/issues/80735</t>
  </si>
  <si>
    <t>torch.inverse</t>
  </si>
  <si>
    <t>['torch.pinverse', 'torch.Tensor.cholesky_inverse', 'torch.cholesky_inverse', 'torch.Tensor.inverse']</t>
  </si>
  <si>
    <t>https://github.com/pytorch/pytorch/issues/80770</t>
  </si>
  <si>
    <t>torch.xlogy</t>
  </si>
  <si>
    <t>['torch.Tensor.xlogy', 'torch.special.xlogy']</t>
  </si>
  <si>
    <t>https://github.com/pytorch/pytorch/issues/81548</t>
  </si>
  <si>
    <t>torch.nn.ReLU6</t>
  </si>
  <si>
    <t>['torch.nn.Hardtanh']</t>
  </si>
  <si>
    <t>https://github.com/pytorch/pytorch/issues/82060</t>
  </si>
  <si>
    <t>https://github.com/pytorch/pytorch/issues/82107</t>
  </si>
  <si>
    <t>torch.sparse.softmax</t>
  </si>
  <si>
    <t>['torch.sparse.log_softmax']</t>
  </si>
  <si>
    <t>https://github.com/pytorch/pytorch/issues/82494</t>
  </si>
  <si>
    <t>['torch.Tensor.clamp', 'torch.Tensor.clamp_']</t>
  </si>
  <si>
    <t>torch.nn.functional.adaptive_max_pool1d</t>
  </si>
  <si>
    <t>['torch.nn.functional.adaptive_max_pool2d']</t>
  </si>
  <si>
    <t>https://github.com/pytorch/pytorch/issues/83314</t>
  </si>
  <si>
    <t>['torch.Tensor.equal']</t>
  </si>
  <si>
    <t>https://github.com/pytorch/pytorch/issues/83828</t>
  </si>
  <si>
    <t>https://github.com/pytorch/pytorch/issues/83863</t>
  </si>
  <si>
    <t>torch.matmul</t>
  </si>
  <si>
    <t>['torch.linalg.matmul', 'torch.Tensor.matmul']</t>
  </si>
  <si>
    <t>https://github.com/pytorch/pytorch/issues/85111</t>
  </si>
  <si>
    <t>torch.nn.functional.conv1d</t>
  </si>
  <si>
    <t>['torch.nn.functional.conv_transpose2d', 'torch.nn.functional.conv_transpose1d', 'torch.nn.functional.conv2d']</t>
  </si>
  <si>
    <t>https://github.com/pytorch/pytorch/issues/85439</t>
  </si>
  <si>
    <t>torch.aminmax</t>
  </si>
  <si>
    <t>['torch.Tensor.aminmax']</t>
  </si>
  <si>
    <t>https://github.com/pytorch/pytorch/issues/86535</t>
  </si>
  <si>
    <t>https://github.com/pytorch/pytorch/issues/86791</t>
  </si>
  <si>
    <t>['torch.nn.ConvTranspose2d']</t>
  </si>
  <si>
    <t>https://github.com/pytorch/pytorch/issues/87354</t>
  </si>
  <si>
    <t>torch.nn.Conv3d</t>
  </si>
  <si>
    <t>['torch.nn.LazyConv3d']</t>
  </si>
  <si>
    <t>https://github.com/pytorch/pytorch/issues/88464</t>
  </si>
  <si>
    <t>torch.nn.MaxPool1d</t>
  </si>
  <si>
    <t>['torch.nn.AvgPool1d']</t>
  </si>
  <si>
    <t>https://github.com/pytorch/pytorch/issues/88658</t>
  </si>
  <si>
    <t>https://github.com/pytorch/pytorch/issues/88890</t>
  </si>
  <si>
    <t>torch.triangular_solve</t>
  </si>
  <si>
    <t>['torch.Tensor.triangular_solve']</t>
  </si>
  <si>
    <t>https://github.com/pytorch/pytorch/issues/89903</t>
  </si>
  <si>
    <t>torch.pow</t>
  </si>
  <si>
    <t>['torch.Tensor.pow']</t>
  </si>
  <si>
    <t>BugType</t>
    <phoneticPr fontId="1" type="noConversion"/>
  </si>
  <si>
    <t>Original API</t>
    <phoneticPr fontId="1" type="noConversion"/>
  </si>
  <si>
    <t>https://github.com/pytorch/pytorch/issues/73622</t>
  </si>
  <si>
    <t>torch.det</t>
  </si>
  <si>
    <t>https://github.com/pytorch/pytorch/issues/60075#issuecomment-1451618388</t>
  </si>
  <si>
    <t>Our Report</t>
    <phoneticPr fontId="1" type="noConversion"/>
  </si>
  <si>
    <t>https://github.com/pytorch/pytorch/issues/61656#issuecomment-1451651670</t>
  </si>
  <si>
    <t>https://github.com/pytorch/pytorch/issues/63152#issuecomment-1451187123</t>
  </si>
  <si>
    <t>https://github.com/pytorch/pytorch/issues/65599#issuecomment-1451516356</t>
  </si>
  <si>
    <t>https://github.com/pytorch/pytorch/issues/66402#issuecomment-1451140322</t>
  </si>
  <si>
    <t>https://github.com/pytorch/pytorch/issues/68727</t>
    <phoneticPr fontId="1" type="noConversion"/>
  </si>
  <si>
    <t>https://github.com/pytorch/pytorch/issues/69270#issuecomment-1449499598</t>
  </si>
  <si>
    <t>https://github.com/pytorch/pytorch/issues/69432#issuecomment-1449656851</t>
  </si>
  <si>
    <t>Reported by Others in https://github.com/pytorch/pytorch/issues/69665</t>
    <phoneticPr fontId="1" type="noConversion"/>
  </si>
  <si>
    <t>https://github.com/pytorch/pytorch/issues/95451</t>
  </si>
  <si>
    <t>https://github.com/pytorch/pytorch/issues/70523#issuecomment-1450141627</t>
  </si>
  <si>
    <t>https://github.com/pytorch/pytorch/issues/70664#issuecomment-1449255306</t>
  </si>
  <si>
    <t>https://github.com/pytorch/pytorch/issues/70675#issuecomment-1449254644</t>
    <phoneticPr fontId="1" type="noConversion"/>
  </si>
  <si>
    <t>https://github.com/pytorch/pytorch/issues/73628#issuecomment-1449253405</t>
  </si>
  <si>
    <t>Reported New Bugs</t>
    <phoneticPr fontId="1" type="noConversion"/>
  </si>
  <si>
    <t>https://github.com/pytorch/pytorch/issues/76522#issuecomment-1453373552</t>
  </si>
  <si>
    <t>https://github.com/pytorch/pytorch/issues/95434</t>
  </si>
  <si>
    <t>https://github.com/pytorch/pytorch/issues/80735#issuecomment-1453471772</t>
  </si>
  <si>
    <t>https://github.com/pytorch/pytorch/issues/95590</t>
  </si>
  <si>
    <t>https://github.com/pytorch/pytorch/issues/95432</t>
  </si>
  <si>
    <t>https://github.com/pytorch/pytorch/issues/82060#issuecomment-1441656344</t>
  </si>
  <si>
    <t>https://github.com/pytorch/pytorch/issues/95371</t>
  </si>
  <si>
    <t>https://github.com/pytorch/pytorch/issues/95351</t>
  </si>
  <si>
    <t>torch.nn.Conv2d</t>
    <phoneticPr fontId="1" type="noConversion"/>
  </si>
  <si>
    <t>https://github.com/pytorch/pytorch/issues/95116</t>
  </si>
  <si>
    <t>https://github.com/pytorch/pytorch/issues/95108</t>
  </si>
  <si>
    <t>https://github.com/pytorch/pytorch/issues/86535#issuecomment-1445345228</t>
  </si>
  <si>
    <t>https://github.com/pytorch/pytorch/issues/87354#issuecomment-1441160326</t>
  </si>
  <si>
    <t>https://github.com/pytorch/pytorch/issues/88890#issuecomment-1442844272</t>
  </si>
  <si>
    <t>https://github.com/pytorch/pytorch/issues/95111</t>
  </si>
  <si>
    <t>No.</t>
    <phoneticPr fontId="1" type="noConversion"/>
  </si>
  <si>
    <t>Status</t>
    <phoneticPr fontId="1" type="noConversion"/>
  </si>
  <si>
    <t>Confirmed New Bugs</t>
    <phoneticPr fontId="1" type="noConversion"/>
  </si>
  <si>
    <t>BugType</t>
    <phoneticPr fontId="1" type="noConversion"/>
  </si>
  <si>
    <t>Issue Status</t>
    <phoneticPr fontId="1" type="noConversion"/>
  </si>
  <si>
    <t>No.</t>
    <phoneticPr fontId="1" type="noConversion"/>
  </si>
  <si>
    <t>Original Bug Report</t>
    <phoneticPr fontId="1" type="noConversion"/>
  </si>
  <si>
    <t>Our Report</t>
    <phoneticPr fontId="1" type="noConversion"/>
  </si>
  <si>
    <t>Original API</t>
    <phoneticPr fontId="1" type="noConversion"/>
  </si>
  <si>
    <t>Unique APIs in CITADEL</t>
    <phoneticPr fontId="1" type="noConversion"/>
  </si>
  <si>
    <t>Unique Pairs in CITADEL</t>
    <phoneticPr fontId="1" type="noConversion"/>
  </si>
  <si>
    <t>Confirmed
(0:False; 1:True)</t>
    <phoneticPr fontId="1" type="noConversion"/>
  </si>
  <si>
    <t>Fixed
(0:False; 1:True)</t>
    <phoneticPr fontId="1" type="noConversion"/>
  </si>
  <si>
    <t>Status</t>
    <phoneticPr fontId="1" type="noConversion"/>
  </si>
  <si>
    <t>[]</t>
  </si>
  <si>
    <t>https://github.com/pytorch/pytorch/issues/95776</t>
    <phoneticPr fontId="1" type="noConversion"/>
  </si>
  <si>
    <t>['torch.nn.functional.max_pool3d', 'torch.nn.functional.max_pool2d', 'torch.quantized_max_pool1d',, 'torch.quantized_max_pool2d']</t>
    <phoneticPr fontId="1" type="noConversion"/>
  </si>
  <si>
    <t>https://github.com/pytorch/pytorch/issues/75781#issuecomment-1453359246</t>
    <phoneticPr fontId="1" type="noConversion"/>
  </si>
  <si>
    <t>['torch.Tensor.addmv','torch.Tensor.addr']</t>
    <phoneticPr fontId="1" type="noConversion"/>
  </si>
  <si>
    <t>[['torch.nn.LazyLinear', 'torch.nn.Linear']]</t>
  </si>
  <si>
    <t>https://github.com/pytorch/pytorch/issues/95125</t>
    <phoneticPr fontId="1" type="noConversion"/>
  </si>
  <si>
    <t>https://github.com/pytorch/pytorch/issues/95349</t>
    <phoneticPr fontId="1" type="noConversion"/>
  </si>
  <si>
    <t>[['torch.nn.Conv2d', 'torch.nn.LazyConv2d']]</t>
  </si>
  <si>
    <t>https://github.com/pytorch/pytorch/issues/95124</t>
    <phoneticPr fontId="1" type="noConversion"/>
  </si>
  <si>
    <t>Other New Bugs</t>
    <phoneticPr fontId="1" type="noConversion"/>
  </si>
  <si>
    <t>https://github.com/pytorch/pytorch/issues/60075</t>
    <phoneticPr fontId="1" type="noConversion"/>
  </si>
  <si>
    <t>https://github.com/pytorch/pytorch/issues/69270</t>
    <phoneticPr fontId="1" type="noConversion"/>
  </si>
  <si>
    <t>['torch.Tensor.vsplit', 'torch.Tensor.hsplit', 'torch.Tensor.dsplit']</t>
    <phoneticPr fontId="1" type="noConversion"/>
  </si>
  <si>
    <t>https://github.com/pytorch/pytorch/issues/70486#issuecomment-1450113750</t>
    <phoneticPr fontId="1" type="noConversion"/>
  </si>
  <si>
    <t>['torch.addcdiv', 'torch.Tensor.addcmul']</t>
    <phoneticPr fontId="1" type="noConversion"/>
  </si>
  <si>
    <t>https://github.com/pytorch/pytorch/issues/83328</t>
    <phoneticPr fontId="1" type="noConversion"/>
  </si>
  <si>
    <t>https://github.com/pytorch/pytorch/issues/83328#issuecomment-1445337447</t>
    <phoneticPr fontId="1" type="noConversion"/>
  </si>
  <si>
    <t>['torch.nn.Conv1d', 'torch.nn.Conv3d', 'torch.nn.LazyConv2d']</t>
    <phoneticPr fontId="1" type="noConversion"/>
  </si>
  <si>
    <t>https://github.com/pytorch/pytorch/issues/83828#issuecomment-1454355088</t>
    <phoneticPr fontId="1" type="noConversion"/>
  </si>
  <si>
    <t>Reported Bugs</t>
    <phoneticPr fontId="1" type="noConversion"/>
  </si>
  <si>
    <t>Reported by Others in https://github.com/pytorch/pytorch/issues/93124</t>
    <phoneticPr fontId="1" type="noConversion"/>
  </si>
  <si>
    <t>Reported by Others in https://github.com/pytorch/pytorch/issues/68727</t>
    <phoneticPr fontId="1" type="noConversion"/>
  </si>
  <si>
    <t>Reported and Fixed in https://github.com/pytorch/pytorch/pull/65714</t>
    <phoneticPr fontId="1" type="noConversion"/>
  </si>
  <si>
    <t>[['torch.all', 'torch.any']]</t>
  </si>
  <si>
    <t>Reported by Others in https://github.com/pytorch/pytorch/issues/70674</t>
    <phoneticPr fontId="1" type="noConversion"/>
  </si>
  <si>
    <t>Reported by Others in https://github.com/pytorch/pytorch/issues/71080</t>
    <phoneticPr fontId="1" type="noConversion"/>
  </si>
  <si>
    <t>['torch.nn.functional.conv2d', 'torch.nn.functional.conv1d']</t>
  </si>
  <si>
    <t>Reported by Others in https://github.com/pytorch/pytorch/issues/72910</t>
    <phoneticPr fontId="1" type="noConversion"/>
  </si>
  <si>
    <t>Reported by Others in https://github.com/pytorch/pytorch/issues/80770</t>
    <phoneticPr fontId="1" type="noConversion"/>
  </si>
  <si>
    <t>Reported by Others in https://github.com/pytorch/pytorch/issues/85111</t>
    <phoneticPr fontId="1" type="noConversion"/>
  </si>
  <si>
    <t>[['torch.nn.functional.conv1d', 'torch.nn.functional.conv_transpose2d'], ['torch.nn.functional.conv1d', 'torch.nn.functional.conv_transpose1d'], ['torch.nn.functional.conv1d', 'torch.nn.functional.conv2d']]</t>
  </si>
  <si>
    <t>['torch.nn.functional.conv1d', 'torch.nn.functional.conv2d']</t>
  </si>
  <si>
    <t>/</t>
    <phoneticPr fontId="1" type="noConversion"/>
  </si>
  <si>
    <t>Value</t>
    <phoneticPr fontId="1" type="noConversion"/>
  </si>
  <si>
    <t>Confirmed New Bugs</t>
    <phoneticPr fontId="1" type="noConversion"/>
  </si>
  <si>
    <t>[['torch.fft.rfft', 'torch.fft.rfft2']]</t>
  </si>
  <si>
    <t>https://github.com/pytorch/pytorch/issues/95756</t>
    <phoneticPr fontId="1" type="noConversion"/>
  </si>
  <si>
    <t>[['torch.nn.Conv3d', 'torch.nn.LazyConv3d']]</t>
  </si>
  <si>
    <t>Other New Bugs</t>
    <phoneticPr fontId="1" type="noConversion"/>
  </si>
  <si>
    <t>https://github.com/pytorch/pytorch/issues/65599</t>
    <phoneticPr fontId="1" type="noConversion"/>
  </si>
  <si>
    <t>https://github.com/pytorch/pytorch/issues/83314#issuecomment-1454343873</t>
    <phoneticPr fontId="1" type="noConversion"/>
  </si>
  <si>
    <t>https://github.com/pytorch/pytorch/issues/69801</t>
    <phoneticPr fontId="1" type="noConversion"/>
  </si>
  <si>
    <t>Reported by Others in https://github.com/pytorch/pytorch/issues/69801</t>
    <phoneticPr fontId="1" type="noConversion"/>
  </si>
  <si>
    <t>https://github.com/pytorch/pytorch/issues/83071</t>
    <phoneticPr fontId="1" type="noConversion"/>
  </si>
  <si>
    <t>Reported by Others in https://github.com/pytorch/pytorch/issues/83071</t>
    <phoneticPr fontId="1" type="noConversion"/>
  </si>
  <si>
    <t>FP</t>
    <phoneticPr fontId="1" type="noConversion"/>
  </si>
  <si>
    <t>Performance</t>
    <phoneticPr fontId="1" type="noConversion"/>
  </si>
  <si>
    <t>https://github.com/pytorch/pytorch/issues/95604</t>
    <phoneticPr fontId="1" type="noConversion"/>
  </si>
  <si>
    <t>['torch.nn.ConvTranspose2d', 'torch.nn.LazyConvTranspose2d', 'torch.nn.LazyConv2d']</t>
    <phoneticPr fontId="1" type="noConversion"/>
  </si>
  <si>
    <t>[['torch.nn.Conv2d', 'torch.nn.LazyConvTranspose2d'], ['torch.nn.Conv2d', 'torch.nn.LazyConv2d']]</t>
  </si>
  <si>
    <t>[['torch.inverse', 'torch.pinverse']]</t>
  </si>
  <si>
    <t>[['torch.nn.Hardtanh', 'torch.nn.ReLU6']]</t>
  </si>
  <si>
    <t>https://github.com/pytorch/pytorch/issues/74487#issuecomment-1453333630</t>
    <phoneticPr fontId="1" type="noConversion"/>
  </si>
  <si>
    <t>tf.compat.v1.layers.MaxPooling1D</t>
  </si>
  <si>
    <t>tf.matmul</t>
  </si>
  <si>
    <t>['tf.linalg.matmul', 'tf.compat.v1.matmul', 'tf.compat.v1.linalg.matmul']</t>
  </si>
  <si>
    <t>['tf.keras.layers.experimental.preprocessing.StringLookup']</t>
  </si>
  <si>
    <t>[['tf.keras.layers.experimental.preprocessing.StringLookup', 'tf.matmul']]</t>
  </si>
  <si>
    <t>tf.keras.layers.LeakyReLU</t>
  </si>
  <si>
    <t>['tf.compat.v1.keras.layers.LeakyReLU']</t>
  </si>
  <si>
    <t>tf.raw_ops.Gather</t>
  </si>
  <si>
    <t>tf.image.convert_image_dtype</t>
  </si>
  <si>
    <t>['tf.compat.v1.image.convert_image_dtype']</t>
  </si>
  <si>
    <t>tf.linalg.diag</t>
  </si>
  <si>
    <t>['tf.compat.v1.matrix_diag', 'tf.compat.v1.linalg.diag']</t>
  </si>
  <si>
    <t>tf.keras.layers.Convolution2DTranspose</t>
  </si>
  <si>
    <t>[['tf.compat.v1.layers.Conv2DTranspose', 'tf.keras.layers.Convolution2DTranspose']]</t>
  </si>
  <si>
    <t>['tf.compat.v1.layers.Conv2DTranspose']</t>
  </si>
  <si>
    <t>tf.image.adjust_jpeg_quality</t>
  </si>
  <si>
    <t>['tf.compat.v1.image.adjust_jpeg_quality']</t>
  </si>
  <si>
    <t>tf.ragged.row_splits_to_segment_ids</t>
  </si>
  <si>
    <t>['tf.compat.v1.ragged.row_splits_to_segment_ids']</t>
  </si>
  <si>
    <t>tf.linalg.tensor_diag_part</t>
  </si>
  <si>
    <t>tf.boolean_mask</t>
  </si>
  <si>
    <t>['tf.compat.v1.boolean_mask']</t>
  </si>
  <si>
    <t>tf.keras.layers.MaxPooling3D</t>
  </si>
  <si>
    <t>tf.image.extract_glimpse</t>
  </si>
  <si>
    <t>['tf.compat.v1.image.extract_glimpse']</t>
  </si>
  <si>
    <t>[['tf.compat.v1.image.extract_glimpse', 'tf.image.extract_glimpse']]</t>
  </si>
  <si>
    <t>tf.reduce_sum</t>
  </si>
  <si>
    <t>['tf.compat.v1.reduce_sum', 'tf.compat.v1.math.reduce_sum', 'tf.math.reduce_sum']</t>
  </si>
  <si>
    <t>['tf.compat.v1.keras.layers.Conv2DTranspose', 'tf.compat.v1.keras.layers.Convolution2DTranspose', 'tf.keras.layers.Convolution2DTranspose', 'tf.compat.v1.layers.Conv2DTranspose']</t>
  </si>
  <si>
    <t>[['tf.compat.v1.layers.Conv2DTranspose', 'tf.keras.layers.Conv2DTranspose']]</t>
  </si>
  <si>
    <t>tf.keras.layers.Lambda</t>
  </si>
  <si>
    <t>['tf.compat.v1.keras.layers.Lambda']</t>
  </si>
  <si>
    <t>[['tf.compat.v1.keras.layers.Lambda', 'tf.keras.layers.Lambda']]</t>
  </si>
  <si>
    <t>tf.tanh</t>
  </si>
  <si>
    <t>tf.transpose</t>
  </si>
  <si>
    <t>['tf.compat.v1.transpose']</t>
  </si>
  <si>
    <t>tf.keras.layers.LayerNormalization</t>
  </si>
  <si>
    <t>['tf.compat.v1.keras.layers.LayerNormalization']</t>
  </si>
  <si>
    <t>https://github.com/tensorflow/tensorflow/issues/46168</t>
  </si>
  <si>
    <t>tf.nn.conv2d</t>
  </si>
  <si>
    <t>['tf.compat.v1.nn.conv2d']</t>
  </si>
  <si>
    <t>https://github.com/tensorflow/tensorflow/issues/45322</t>
  </si>
  <si>
    <t>tf.name_scope</t>
  </si>
  <si>
    <t>['tf.compat.v1.name_scope']</t>
  </si>
  <si>
    <t>[['tf.compat.v1.name_scope', 'tf.name_scope']]</t>
  </si>
  <si>
    <t>tf.linalg.diag_part</t>
  </si>
  <si>
    <t>[['tf.linalg.diag_part', 'tf.linalg.tensor_diag'], ['tf.compat.v1.linalg.tensor_diag', 'tf.linalg.diag_part'], ['tf.compat.v1.diag', 'tf.linalg.diag_part']]</t>
  </si>
  <si>
    <t>tf.keras.callbacks.TensorBoard</t>
  </si>
  <si>
    <t>['tf.compat.v1.keras.callbacks.TensorBoard']</t>
  </si>
  <si>
    <t>[['tf.compat.v1.keras.callbacks.TensorBoard', 'tf.keras.callbacks.TensorBoard']]</t>
  </si>
  <si>
    <t>https://github.com/tensorflow/tensorflow/issues/44555</t>
  </si>
  <si>
    <t>tf.convert_to_tensor</t>
  </si>
  <si>
    <t>tf.keras.layers.experimental.preprocessing.CategoryEncoding</t>
  </si>
  <si>
    <t>['tf.compat.v1.keras.layers.experimental.preprocessing.CategoryEncoding']</t>
  </si>
  <si>
    <t>[['tf.compat.v1.keras.layers.experimental.preprocessing.CategoryEncoding', 'tf.keras.layers.experimental.preprocessing.CategoryEncoding']]</t>
  </si>
  <si>
    <t>tf.stack</t>
  </si>
  <si>
    <t>['tf.compat.v1.stack']</t>
  </si>
  <si>
    <t>tf.broadcast_to</t>
  </si>
  <si>
    <t>['tf.compat.v1.broadcast_to']</t>
  </si>
  <si>
    <t>tf.keras.layers.TimeDistributed</t>
  </si>
  <si>
    <t>['tf.compat.v1.keras.layers.TimeDistributed']</t>
  </si>
  <si>
    <t>[['tf.compat.v1.keras.layers.TimeDistributed', 'tf.keras.layers.TimeDistributed']]</t>
  </si>
  <si>
    <t>https://github.com/pytorch/pytorch/issues/69432</t>
    <phoneticPr fontId="1" type="noConversion"/>
  </si>
  <si>
    <t>https://github.com/tensorflow/tensorflow/issues/61642</t>
    <phoneticPr fontId="1" type="noConversion"/>
  </si>
  <si>
    <t>Original Bug ID</t>
    <phoneticPr fontId="1" type="noConversion"/>
  </si>
  <si>
    <t>https://github.com/tensorflow/tensorflow/issues/61369</t>
    <phoneticPr fontId="1" type="noConversion"/>
  </si>
  <si>
    <t>https://github.com/tensorflow/tensorflow/issues/61257</t>
    <phoneticPr fontId="1" type="noConversion"/>
  </si>
  <si>
    <t>https://github.com/tensorflow/tensorflow/issues/60276</t>
    <phoneticPr fontId="1" type="noConversion"/>
  </si>
  <si>
    <t>https://github.com/tensorflow/tensorflow/issues/57713</t>
    <phoneticPr fontId="1" type="noConversion"/>
  </si>
  <si>
    <t>https://github.com/tensorflow/tensorflow/issues/57450</t>
    <phoneticPr fontId="1" type="noConversion"/>
  </si>
  <si>
    <t>https://github.com/tensorflow/tensorflow/issues/54848</t>
    <phoneticPr fontId="1" type="noConversion"/>
  </si>
  <si>
    <t>https://github.com/tensorflow/tensorflow/issues/51936</t>
    <phoneticPr fontId="1" type="noConversion"/>
  </si>
  <si>
    <t>https://github.com/tensorflow/tensorflow/issues/51618</t>
    <phoneticPr fontId="1" type="noConversion"/>
  </si>
  <si>
    <t>https://github.com/tensorflow/tensorflow/issues/48469</t>
    <phoneticPr fontId="1" type="noConversion"/>
  </si>
  <si>
    <t>https://github.com/tensorflow/tensorflow/issues/47816</t>
    <phoneticPr fontId="1" type="noConversion"/>
  </si>
  <si>
    <t>https://github.com/tensorflow/tensorflow/issues/46914</t>
    <phoneticPr fontId="1" type="noConversion"/>
  </si>
  <si>
    <t>https://github.com/tensorflow/tensorflow/issues/46891</t>
    <phoneticPr fontId="1" type="noConversion"/>
  </si>
  <si>
    <t>https://github.com/tensorflow/tensorflow/issues/46366</t>
    <phoneticPr fontId="1" type="noConversion"/>
  </si>
  <si>
    <t>https://github.com/tensorflow/tensorflow/issues/45321</t>
    <phoneticPr fontId="1" type="noConversion"/>
  </si>
  <si>
    <t>https://github.com/tensorflow/tensorflow/issues/44906</t>
    <phoneticPr fontId="1" type="noConversion"/>
  </si>
  <si>
    <t>https://github.com/tensorflow/tensorflow/issues/44563</t>
    <phoneticPr fontId="1" type="noConversion"/>
  </si>
  <si>
    <t>https://github.com/tensorflow/tensorflow/issues/42680</t>
    <phoneticPr fontId="1" type="noConversion"/>
  </si>
  <si>
    <t>https://github.com/tensorflow/tensorflow/issues/41504</t>
    <phoneticPr fontId="1" type="noConversion"/>
  </si>
  <si>
    <t>https://github.com/tensorflow/tensorflow/issues/40896</t>
    <phoneticPr fontId="1" type="noConversion"/>
  </si>
  <si>
    <t>https://github.com/tensorflow/tensorflow/issues/40138</t>
    <phoneticPr fontId="1" type="noConversion"/>
  </si>
  <si>
    <t>value</t>
    <phoneticPr fontId="1" type="noConversion"/>
  </si>
  <si>
    <t>https://github.com/tensorflow/tensorflow/issues/61778</t>
    <phoneticPr fontId="1" type="noConversion"/>
  </si>
  <si>
    <t>https://github.com/tensorflow/tensorflow/issues/61257#issuecomment-1715331942</t>
    <phoneticPr fontId="1" type="noConversion"/>
  </si>
  <si>
    <t>https://github.com/tensorflow/tensorflow/issues/61780</t>
    <phoneticPr fontId="1" type="noConversion"/>
  </si>
  <si>
    <t>https://github.com/tensorflow/tensorflow/issues/57713#issuecomment-1715335479</t>
    <phoneticPr fontId="1" type="noConversion"/>
  </si>
  <si>
    <t>https://github.com/tensorflow/tensorflow/issues/57450#issuecomment-1715338909</t>
    <phoneticPr fontId="1" type="noConversion"/>
  </si>
  <si>
    <t>https://github.com/tensorflow/tensorflow/issues/51936#issuecomment-1715343444</t>
    <phoneticPr fontId="1" type="noConversion"/>
  </si>
  <si>
    <t>https://github.com/tensorflow/tensorflow/issues/51618#issuecomment-1715344439</t>
    <phoneticPr fontId="1" type="noConversion"/>
  </si>
  <si>
    <t>https://github.com/tensorflow/tensorflow/issues/48469#issuecomment-1729302229</t>
    <phoneticPr fontId="1" type="noConversion"/>
  </si>
  <si>
    <t>https://github.com/tensorflow/tensorflow/issues/47816#issuecomment-1729365095</t>
    <phoneticPr fontId="1" type="noConversion"/>
  </si>
  <si>
    <t>https://github.com/tensorflow/tensorflow/issues/46914#issuecomment-1715347080</t>
    <phoneticPr fontId="1" type="noConversion"/>
  </si>
  <si>
    <t>https://github.com/tensorflow/tensorflow/issues/46891#issuecomment-1729310859</t>
    <phoneticPr fontId="1" type="noConversion"/>
  </si>
  <si>
    <t>https://github.com/tensorflow/tensorflow/issues/46366#issuecomment-1729321731</t>
    <phoneticPr fontId="1" type="noConversion"/>
  </si>
  <si>
    <t>https://github.com/tensorflow/tensorflow/issues/45321#issuecomment-1715347828</t>
    <phoneticPr fontId="1" type="noConversion"/>
  </si>
  <si>
    <t>https://github.com/tensorflow/tensorflow/issues/44906#issuecomment-1729371626</t>
    <phoneticPr fontId="1" type="noConversion"/>
  </si>
  <si>
    <t>https://github.com/tensorflow/tensorflow/issues/44563#issuecomment-1729419469</t>
    <phoneticPr fontId="1" type="noConversion"/>
  </si>
  <si>
    <t>https://github.com/tensorflow/tensorflow/issues/42680#issuecomment-1729405398</t>
    <phoneticPr fontId="1" type="noConversion"/>
  </si>
  <si>
    <t>https://github.com/tensorflow/tensorflow/issues/41504#issuecomment-1729350585</t>
    <phoneticPr fontId="1" type="noConversion"/>
  </si>
  <si>
    <t>https://github.com/tensorflow/tensorflow/issues/40896#issuecomment-1729339984</t>
    <phoneticPr fontId="1" type="noConversion"/>
  </si>
  <si>
    <t>https://github.com/tensorflow/tensorflow/issues/40138#issuecomment-1729333481</t>
    <phoneticPr fontId="1" type="noConversion"/>
  </si>
  <si>
    <t>https://github.com/tensorflow/tensorflow/issues/61510</t>
    <phoneticPr fontId="1" type="noConversion"/>
  </si>
  <si>
    <t>https://github.com/tensorflow/tensorflow/issues/61510#issuecomment-1715330510</t>
    <phoneticPr fontId="1" type="noConversion"/>
  </si>
  <si>
    <t>https://github.com/tensorflow/tensorflow/issues/58749</t>
    <phoneticPr fontId="1" type="noConversion"/>
  </si>
  <si>
    <t>https://github.com/tensorflow/tensorflow/issues/58749#issuecomment-1715333972</t>
    <phoneticPr fontId="1" type="noConversion"/>
  </si>
  <si>
    <t>https://github.com/tensorflow/tensorflow/issues/58699</t>
    <phoneticPr fontId="1" type="noConversion"/>
  </si>
  <si>
    <t>https://github.com/tensorflow/tensorflow/issues/58699#issuecomment-1715334878</t>
    <phoneticPr fontId="1" type="noConversion"/>
  </si>
  <si>
    <t>https://github.com/tensorflow/tensorflow/issues/55138</t>
    <phoneticPr fontId="1" type="noConversion"/>
  </si>
  <si>
    <t>https://github.com/tensorflow/tensorflow/issues/55138#issuecomment-1715340581</t>
    <phoneticPr fontId="1" type="noConversion"/>
  </si>
  <si>
    <t>https://github.com/tensorflow/tensorflow/issues/54849</t>
    <phoneticPr fontId="1" type="noConversion"/>
  </si>
  <si>
    <t>https://github.com/tensorflow/tensorflow/issues/54849#issuecomment-1715341432</t>
    <phoneticPr fontId="1" type="noConversion"/>
  </si>
  <si>
    <t>https://github.com/tensorflow/tensorflow/issues/54412</t>
    <phoneticPr fontId="1" type="noConversion"/>
  </si>
  <si>
    <t>https://github.com/tensorflow/tensorflow/issues/61820</t>
    <phoneticPr fontId="1" type="noConversion"/>
  </si>
  <si>
    <t>https://github.com/tensorflow/tensorflow/issues/50992</t>
    <phoneticPr fontId="1" type="noConversion"/>
  </si>
  <si>
    <t>https://github.com/tensorflow/tensorflow/issues/50992#issuecomment-1715345077</t>
    <phoneticPr fontId="1" type="noConversion"/>
  </si>
  <si>
    <t>https://github.com/tensorflow/tensorflow/issues/47724</t>
    <phoneticPr fontId="1" type="noConversion"/>
  </si>
  <si>
    <t>https://github.com/tensorflow/tensorflow/issues/47724#issuecomment-1715346398</t>
    <phoneticPr fontId="1" type="noConversion"/>
  </si>
  <si>
    <t>https://github.com/tensorflow/tensorflow/issues/42424</t>
    <phoneticPr fontId="1" type="noConversion"/>
  </si>
  <si>
    <t>https://github.com/tensorflow/tensorflow/issues/42424#issuecomment-1729383058</t>
    <phoneticPr fontId="1" type="noConversion"/>
  </si>
  <si>
    <r>
      <t>https://github.com/tensorflow/ten</t>
    </r>
    <r>
      <rPr>
        <sz val="11"/>
        <rFont val="等线"/>
        <family val="2"/>
        <scheme val="minor"/>
      </rPr>
      <t xml:space="preserve">sorflow/issues/61779, </t>
    </r>
    <r>
      <rPr>
        <sz val="11"/>
        <rFont val="Calibri"/>
        <family val="2"/>
      </rPr>
      <t>https://github.com/keras-team/keras/issues/18376</t>
    </r>
    <phoneticPr fontId="1" type="noConversion"/>
  </si>
  <si>
    <t>performance</t>
    <phoneticPr fontId="1" type="noConversion"/>
  </si>
  <si>
    <t>https://github.com/tensorflow/tensorflow/issues/61821</t>
    <phoneticPr fontId="1" type="noConversion"/>
  </si>
  <si>
    <t>https://github.com/tensorflow/tensorflow/issues/45322#issuecomment-1729471290</t>
    <phoneticPr fontId="1" type="noConversion"/>
  </si>
  <si>
    <t>https://github.com/tensorflow/tensorflow/issues/44555#issuecomment-1729440761</t>
    <phoneticPr fontId="1" type="noConversion"/>
  </si>
  <si>
    <t>[['tf.compat.v1.layers.MaxPooling1D', 'tf.keras.layers.MaxPool2D'], ['tf.compat.v1.keras.layers.MaxPooling2D', 'tf.compat.v1.layers.MaxPooling1D'], ['tf.compat.v1.layers.MaxPooling1D', 'tf.keras.layers.MaxPooling2D'], ['tf.compat.v1.keras.layers.MaxPool2D', 'tf.compat.v1.layers.MaxPooling1D']]</t>
    <phoneticPr fontId="1" type="noConversion"/>
  </si>
  <si>
    <t>['tf.compat.v1.keras.layers.Conv2DTranspose', 'tf.compat.v1.keras.layers.Convolution2DTranspose', 'tf.keras.layers.Conv2DTranspose', 'tf.compat.v1.layers.Conv2DTranspose']</t>
    <phoneticPr fontId="1" type="noConversion"/>
  </si>
  <si>
    <t>['tf.keras.layers.MaxPool2D', 'tf.compat.v1.keras.layers.MaxPool1D', 'tf.compat.v1.keras.layers.MaxPooling2D', 'tf.keras.layers.MaxPooling1D', 'tf.keras.layers.MaxPooling2D', 'tf.compat.v1.keras.layers.MaxPool2D', 'tf.keras.layers.MaxPool1D', 'tf.compat.v1.keras.layers.MaxPooling1D']</t>
    <phoneticPr fontId="1" type="noConversion"/>
  </si>
  <si>
    <t>[ 'torch.quantized_max_pool1d']</t>
    <phoneticPr fontId="1" type="noConversion"/>
  </si>
  <si>
    <t># Detected Bugs</t>
    <phoneticPr fontId="1" type="noConversion"/>
  </si>
  <si>
    <t># Bugs</t>
    <phoneticPr fontId="1" type="noConversion"/>
  </si>
  <si>
    <t># Newly Detected(no FP)</t>
    <phoneticPr fontId="1" type="noConversion"/>
  </si>
  <si>
    <t># Confirm</t>
    <phoneticPr fontId="1" type="noConversion"/>
  </si>
  <si>
    <t>tf.keras.layers.UpSampling2D</t>
    <phoneticPr fontId="1" type="noConversion"/>
  </si>
  <si>
    <t>[['tf.keras.layers.UpSampling1D', 'tf.keras.layers.UpSampling2D'], ['tf.compat.v1.keras.layers.UpSampling3D', 'tf.keras.layers.UpSampling2D'], ['tf.compat.v1.keras.layers.UpSampling1D', 'tf.keras.layers.UpSampling2D'], ['tf.keras.layers.UpSampling2D', 'tf.keras.layers.UpSampling3D']]</t>
    <phoneticPr fontId="1" type="noConversion"/>
  </si>
  <si>
    <t>[['tf.compat.v1.keras.layers.AvgPool3D', 'tf.keras.layers.MaxPooling3D'], ['tf.compat.v1.keras.layers.AveragePooling3D', 'tf.keras.layers.MaxPooling3D'], ['tf.keras.layers.AveragePooling3D', 'tf.keras.layers.MaxPooling3D'], ['tf.keras.layers.AvgPool3D', 'tf.keras.layers.MaxPooling3D']]</t>
    <phoneticPr fontId="1" type="noConversion"/>
  </si>
  <si>
    <t>['torch.Tensor.det', 'torch.logdet', 'torch.linalg.det', 'torch.Tensor.logdet']</t>
    <phoneticPr fontId="1" type="noConversion"/>
  </si>
  <si>
    <t>['tf.compat.v1.keras.layers.AvgPool3D', 'tf.compat.v1.keras.layers.AveragePooling3D', 'tf.compat.v1.keras.layers.MaxPool3D', 'tf.compat.v1.keras.layers.MaxPooling3D', 'tf.keras.layers.MaxPool3D', 'tf.keras.layers.AveragePooling3D', 'tf.keras.layers.AvgPool3D']</t>
    <phoneticPr fontId="1" type="noConversion"/>
  </si>
  <si>
    <t>['tf.compat.v1.keras.layers.UpSampling2D', 'tf.keras.layers.UpSampling1D', 'tf.compat.v1.keras.layers.UpSampling3D', 'tf.compat.v1.keras.layers.UpSampling1D', 'tf.keras.layers.UpSampling3D']</t>
    <phoneticPr fontId="1" type="noConversion"/>
  </si>
  <si>
    <t>['tf.math.tanh', 'tf.compat.v1.tanh', 'tf.nn.tanh', 'tf.compat.v1.keras.activations.tanh', 'tf.keras.activations.tanh', 'tf.compat.v1.math.tanh', 'tf.experimental.numpy.tanh', 'tf.compat.v1.nn.tanh']</t>
    <phoneticPr fontId="1" type="noConversion"/>
  </si>
  <si>
    <t>['tf.compat.v1.convert_to_tensor']</t>
    <phoneticPr fontId="1" type="noConversion"/>
  </si>
  <si>
    <t>https://github.com/pytorch/pytorch/issues/95281</t>
    <phoneticPr fontId="1" type="noConversion"/>
  </si>
  <si>
    <t>['tf.compat.v1.linalg.tensor_diag_part', 'tf.compat.v1.diag_part']</t>
    <phoneticPr fontId="1" type="noConversion"/>
  </si>
  <si>
    <t>https://github.com/tensorflow/tensorflow/issues/54848#issuecomment-1715341983 （FP Case）</t>
    <phoneticPr fontId="1" type="noConversion"/>
  </si>
  <si>
    <t># New Bugs</t>
    <phoneticPr fontId="1" type="noConversion"/>
  </si>
  <si>
    <t>[['torch.hsplit', 'torch.Tensor.vsplit'], ['torch.Tensor.dsplit', 'torch.hsplit']]</t>
    <phoneticPr fontId="1" type="noConversion"/>
  </si>
  <si>
    <t>['torch.nn.MaxUnpool3d']</t>
    <phoneticPr fontId="1" type="noConversion"/>
  </si>
  <si>
    <r>
      <t>['</t>
    </r>
    <r>
      <rPr>
        <sz val="11"/>
        <color rgb="FFFF0000"/>
        <rFont val="Arial"/>
        <family val="2"/>
      </rPr>
      <t>torch.nn.LazyConvTranspose2d</t>
    </r>
    <r>
      <rPr>
        <sz val="11"/>
        <color theme="1"/>
        <rFont val="Arial"/>
        <family val="2"/>
      </rPr>
      <t>', 'torch.nn.LazyConv2d']</t>
    </r>
    <phoneticPr fontId="1" type="noConversion"/>
  </si>
  <si>
    <t>['tf.compat.v1.layers.Conv2DTranspose']</t>
    <phoneticPr fontId="1" type="noConversion"/>
  </si>
  <si>
    <t>['tf.compat.v1.keras.layers.Lambda']</t>
    <phoneticPr fontId="1" type="noConversion"/>
  </si>
  <si>
    <t>['tf.compat.v1.keras.callbacks.TensorBoard']</t>
    <phoneticPr fontId="1" type="noConversion"/>
  </si>
  <si>
    <t>tf.keras.layers.Conv2DTranspose</t>
    <phoneticPr fontId="1" type="noConversion"/>
  </si>
  <si>
    <t>['tf.compat.v1.keras.layers.experimental.preprocessing.CategoryEncoding']</t>
    <phoneticPr fontId="1" type="noConversion"/>
  </si>
  <si>
    <t>['tf.compat.v1.keras.layers.TimeDistributed']</t>
    <phoneticPr fontId="1" type="noConversion"/>
  </si>
  <si>
    <t>['tf.compat.v1.name_scope']</t>
    <phoneticPr fontId="1" type="noConversion"/>
  </si>
  <si>
    <t>['tf.compat.v1.gather', 'tf.gather']</t>
    <phoneticPr fontId="1" type="noConversion"/>
  </si>
  <si>
    <t>[['torch.nn.functional.max_pool1d', 'torch.nn.functional.max_pool3d'], ['torch.nn.functional.max_pool1d', 'torch.quantized_max_pool1d']]</t>
    <phoneticPr fontId="1" type="noConversion"/>
  </si>
  <si>
    <t>[['torch.nn.LazyLinear', 'torch.nn.Linear']]</t>
    <phoneticPr fontId="1" type="noConversion"/>
  </si>
  <si>
    <t>[['torch.nn.Conv1d', 'torch.nn.Conv2d'], ['torch.nn.Conv2d', 'torch.nn.LazyConv2d']]</t>
    <phoneticPr fontId="1" type="noConversion"/>
  </si>
  <si>
    <t>[['torch.nn.Conv2d', 'torch.nn.LazyConv2d']]</t>
    <phoneticPr fontId="1" type="noConversion"/>
  </si>
  <si>
    <t>[['torch.nn.MaxUnpool2d', 'torch.nn.MaxUnpool3d']]</t>
    <phoneticPr fontId="1" type="noConversion"/>
  </si>
  <si>
    <t>[['torch.nn.functional.conv2d', 'torch.nn.functional.conv_transpose2d'], ['torch.nn.functional.conv2d', 'torch.nn.functional.conv_transpose1d'], ['torch.nn.functional.conv1d', 'torch.nn.functional.conv2d']]</t>
    <phoneticPr fontId="1" type="noConversion"/>
  </si>
  <si>
    <t>['tf.linalg.tensor_diag', 'tf.compat.v1.linalg.diag_part', 'tf.compat.v1.linalg.tensor_diag', 'tf.compat.v1.matrix_diag_part', 'tf.compat.v1.diag']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</si>
</sst>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</font>
    <font>
      <u/>
      <sz val="11"/>
      <color rgb="FF00B050"/>
      <name val="等线"/>
      <family val="2"/>
      <scheme val="minor"/>
    </font>
    <font>
      <sz val="11"/>
      <color rgb="FF00B050"/>
      <name val="Arial"/>
      <family val="2"/>
    </font>
    <font>
      <sz val="11"/>
      <color rgb="FF00B05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/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0" borderId="0" xfId="1"/>
    <xf numFmtId="0" fontId="3" fillId="0" borderId="1" xfId="1" applyBorder="1" applyAlignment="1">
      <alignment horizontal="center" vertical="center" wrapText="1"/>
    </xf>
    <xf numFmtId="0" fontId="3" fillId="2" borderId="0" xfId="1" applyFill="1"/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7" fillId="0" borderId="0" xfId="1" applyFont="1"/>
    <xf numFmtId="0" fontId="9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pytorch/pytorch/issues/95281" TargetMode="External"/><Relationship Id="rId1" Type="http://schemas.openxmlformats.org/officeDocument/2006/relationships/hyperlink" Target="https://github.com/pytorch/pytorch/issues/6943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tensorflow/tensorflow/issues/61821" TargetMode="External"/><Relationship Id="rId2" Type="http://schemas.openxmlformats.org/officeDocument/2006/relationships/hyperlink" Target="https://github.com/tensorflow/tensorflow/issues/46914" TargetMode="External"/><Relationship Id="rId1" Type="http://schemas.openxmlformats.org/officeDocument/2006/relationships/hyperlink" Target="https://github.com/tensorflow/tensorflow/issues/54848" TargetMode="External"/><Relationship Id="rId4" Type="http://schemas.openxmlformats.org/officeDocument/2006/relationships/hyperlink" Target="https://github.com/tensorflow/tensorflow/issues/548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opLeftCell="A33" zoomScale="70" zoomScaleNormal="70" workbookViewId="0">
      <selection activeCell="M58" sqref="M58"/>
    </sheetView>
  </sheetViews>
  <sheetFormatPr defaultRowHeight="14.25"/>
  <cols>
    <col min="1" max="1" width="12.125" style="1" bestFit="1" customWidth="1"/>
    <col min="2" max="2" width="19.5" style="1" bestFit="1" customWidth="1"/>
    <col min="3" max="3" width="13.625" style="1" customWidth="1"/>
    <col min="4" max="4" width="45.375" style="1" customWidth="1"/>
    <col min="5" max="5" width="71.875" style="1" customWidth="1"/>
    <col min="6" max="6" width="16.375" style="1" customWidth="1"/>
    <col min="7" max="7" width="28.5" style="1" customWidth="1"/>
    <col min="8" max="8" width="22.375" style="1" customWidth="1"/>
    <col min="9" max="9" width="48.375" style="1" customWidth="1"/>
    <col min="10" max="11" width="8" style="1" customWidth="1"/>
  </cols>
  <sheetData>
    <row r="1" spans="1:13" ht="57.75" thickBot="1">
      <c r="A1" s="3" t="s">
        <v>154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135</v>
      </c>
      <c r="H1" s="3" t="s">
        <v>161</v>
      </c>
      <c r="I1" s="3" t="s">
        <v>160</v>
      </c>
      <c r="J1" s="3" t="s">
        <v>352</v>
      </c>
      <c r="K1" s="4" t="s">
        <v>366</v>
      </c>
      <c r="L1" s="4" t="s">
        <v>162</v>
      </c>
      <c r="M1" s="4" t="s">
        <v>163</v>
      </c>
    </row>
    <row r="2" spans="1:13" ht="15" thickBot="1">
      <c r="A2" s="31" t="s">
        <v>164</v>
      </c>
      <c r="B2" s="31" t="s">
        <v>153</v>
      </c>
      <c r="C2" s="5">
        <v>1</v>
      </c>
      <c r="D2" s="23" t="s">
        <v>281</v>
      </c>
      <c r="E2" s="5" t="s">
        <v>128</v>
      </c>
      <c r="F2" s="3" t="s">
        <v>20</v>
      </c>
      <c r="G2" s="3" t="s">
        <v>21</v>
      </c>
      <c r="H2" s="2" t="s">
        <v>165</v>
      </c>
      <c r="I2" s="2" t="s">
        <v>165</v>
      </c>
      <c r="J2" s="3">
        <v>1</v>
      </c>
      <c r="K2" s="3">
        <v>1</v>
      </c>
      <c r="L2" s="5">
        <v>1</v>
      </c>
      <c r="M2" s="5">
        <v>1</v>
      </c>
    </row>
    <row r="3" spans="1:13" s="13" customFormat="1" ht="29.25" thickBot="1">
      <c r="A3" s="32"/>
      <c r="B3" s="32"/>
      <c r="C3" s="10">
        <v>2</v>
      </c>
      <c r="D3" s="10" t="s">
        <v>25</v>
      </c>
      <c r="E3" s="10" t="s">
        <v>166</v>
      </c>
      <c r="F3" s="11" t="s">
        <v>26</v>
      </c>
      <c r="G3" s="11" t="s">
        <v>27</v>
      </c>
      <c r="H3" s="12" t="s">
        <v>165</v>
      </c>
      <c r="I3" s="12" t="s">
        <v>165</v>
      </c>
      <c r="J3" s="11">
        <v>2</v>
      </c>
      <c r="K3" s="11">
        <v>2</v>
      </c>
      <c r="L3" s="10">
        <v>1</v>
      </c>
      <c r="M3" s="10">
        <v>0</v>
      </c>
    </row>
    <row r="4" spans="1:13" s="13" customFormat="1" ht="114.75" thickBot="1">
      <c r="A4" s="32"/>
      <c r="B4" s="32"/>
      <c r="C4" s="10">
        <v>3</v>
      </c>
      <c r="D4" s="10" t="s">
        <v>55</v>
      </c>
      <c r="E4" s="10" t="s">
        <v>130</v>
      </c>
      <c r="F4" s="11" t="s">
        <v>56</v>
      </c>
      <c r="G4" s="11" t="s">
        <v>167</v>
      </c>
      <c r="H4" s="12" t="s">
        <v>378</v>
      </c>
      <c r="I4" s="12" t="s">
        <v>350</v>
      </c>
      <c r="J4" s="11">
        <v>4</v>
      </c>
      <c r="K4" s="11">
        <v>4</v>
      </c>
      <c r="L4" s="10">
        <v>1</v>
      </c>
      <c r="M4" s="10">
        <v>0</v>
      </c>
    </row>
    <row r="5" spans="1:13" ht="15" thickBot="1">
      <c r="A5" s="32"/>
      <c r="B5" s="32"/>
      <c r="C5" s="5">
        <v>4</v>
      </c>
      <c r="D5" s="5" t="s">
        <v>60</v>
      </c>
      <c r="E5" s="5" t="s">
        <v>168</v>
      </c>
      <c r="F5" s="3" t="s">
        <v>61</v>
      </c>
      <c r="G5" s="3" t="s">
        <v>62</v>
      </c>
      <c r="H5" s="2" t="s">
        <v>165</v>
      </c>
      <c r="I5" s="2" t="s">
        <v>165</v>
      </c>
      <c r="J5" s="3">
        <v>1</v>
      </c>
      <c r="K5" s="3">
        <v>1</v>
      </c>
      <c r="L5" s="5">
        <v>1</v>
      </c>
      <c r="M5" s="5">
        <v>1</v>
      </c>
    </row>
    <row r="6" spans="1:13" s="13" customFormat="1" ht="29.25" thickBot="1">
      <c r="A6" s="32"/>
      <c r="B6" s="32"/>
      <c r="C6" s="5">
        <v>5</v>
      </c>
      <c r="D6" s="10" t="s">
        <v>66</v>
      </c>
      <c r="E6" s="10" t="s">
        <v>137</v>
      </c>
      <c r="F6" s="11" t="s">
        <v>67</v>
      </c>
      <c r="G6" s="11" t="s">
        <v>169</v>
      </c>
      <c r="H6" s="12" t="s">
        <v>165</v>
      </c>
      <c r="I6" s="12" t="s">
        <v>165</v>
      </c>
      <c r="J6" s="11">
        <v>2</v>
      </c>
      <c r="K6" s="11">
        <v>2</v>
      </c>
      <c r="L6" s="10">
        <v>1</v>
      </c>
      <c r="M6" s="10">
        <v>0</v>
      </c>
    </row>
    <row r="7" spans="1:13" s="13" customFormat="1" ht="29.25" thickBot="1">
      <c r="A7" s="32"/>
      <c r="B7" s="32"/>
      <c r="C7" s="10">
        <v>6</v>
      </c>
      <c r="D7" s="10" t="s">
        <v>68</v>
      </c>
      <c r="E7" s="10" t="s">
        <v>139</v>
      </c>
      <c r="F7" s="11" t="s">
        <v>69</v>
      </c>
      <c r="G7" s="11" t="s">
        <v>70</v>
      </c>
      <c r="H7" s="12" t="s">
        <v>379</v>
      </c>
      <c r="I7" s="12" t="s">
        <v>70</v>
      </c>
      <c r="J7" s="11">
        <v>1</v>
      </c>
      <c r="K7" s="11">
        <v>1</v>
      </c>
      <c r="L7" s="10">
        <v>1</v>
      </c>
      <c r="M7" s="10">
        <v>0</v>
      </c>
    </row>
    <row r="8" spans="1:13" s="13" customFormat="1" ht="29.25" thickBot="1">
      <c r="A8" s="32"/>
      <c r="B8" s="32"/>
      <c r="C8" s="10">
        <v>7</v>
      </c>
      <c r="D8" s="10" t="s">
        <v>84</v>
      </c>
      <c r="E8" s="10" t="s">
        <v>143</v>
      </c>
      <c r="F8" s="11" t="s">
        <v>64</v>
      </c>
      <c r="G8" s="11" t="s">
        <v>85</v>
      </c>
      <c r="H8" s="12" t="s">
        <v>165</v>
      </c>
      <c r="I8" s="12" t="s">
        <v>165</v>
      </c>
      <c r="J8" s="11">
        <v>2</v>
      </c>
      <c r="K8" s="11">
        <v>2</v>
      </c>
      <c r="L8" s="10">
        <v>1</v>
      </c>
      <c r="M8" s="10">
        <v>0</v>
      </c>
    </row>
    <row r="9" spans="1:13" s="13" customFormat="1" ht="29.25" thickBot="1">
      <c r="A9" s="32"/>
      <c r="B9" s="32"/>
      <c r="C9" s="5">
        <v>8</v>
      </c>
      <c r="D9" s="10" t="s">
        <v>91</v>
      </c>
      <c r="E9" s="10" t="s">
        <v>171</v>
      </c>
      <c r="F9" s="11" t="s">
        <v>92</v>
      </c>
      <c r="G9" s="11" t="s">
        <v>93</v>
      </c>
      <c r="H9" s="12" t="s">
        <v>165</v>
      </c>
      <c r="I9" s="12" t="s">
        <v>165</v>
      </c>
      <c r="J9" s="11">
        <v>2</v>
      </c>
      <c r="K9" s="11">
        <v>2</v>
      </c>
      <c r="L9" s="10">
        <v>1</v>
      </c>
      <c r="M9" s="10">
        <v>1</v>
      </c>
    </row>
    <row r="10" spans="1:13" s="13" customFormat="1" ht="15" thickBot="1">
      <c r="A10" s="32"/>
      <c r="B10" s="32"/>
      <c r="C10" s="5">
        <v>9</v>
      </c>
      <c r="D10" s="10" t="s">
        <v>97</v>
      </c>
      <c r="E10" s="10" t="s">
        <v>172</v>
      </c>
      <c r="F10" s="11" t="s">
        <v>98</v>
      </c>
      <c r="G10" s="11" t="s">
        <v>99</v>
      </c>
      <c r="H10" s="12" t="s">
        <v>165</v>
      </c>
      <c r="I10" s="12" t="s">
        <v>165</v>
      </c>
      <c r="J10" s="11">
        <v>1</v>
      </c>
      <c r="K10" s="11">
        <v>1</v>
      </c>
      <c r="L10" s="10">
        <v>1</v>
      </c>
      <c r="M10" s="10">
        <v>0</v>
      </c>
    </row>
    <row r="11" spans="1:13" ht="29.25" thickBot="1">
      <c r="A11" s="32"/>
      <c r="B11" s="32"/>
      <c r="C11" s="10">
        <v>10</v>
      </c>
      <c r="D11" s="5" t="s">
        <v>100</v>
      </c>
      <c r="E11" s="5" t="s">
        <v>147</v>
      </c>
      <c r="F11" s="3" t="s">
        <v>0</v>
      </c>
      <c r="G11" s="3" t="s">
        <v>2</v>
      </c>
      <c r="H11" s="2" t="s">
        <v>173</v>
      </c>
      <c r="I11" s="2" t="s">
        <v>2</v>
      </c>
      <c r="J11" s="3">
        <v>1</v>
      </c>
      <c r="K11" s="3">
        <v>1</v>
      </c>
      <c r="L11" s="5">
        <v>1</v>
      </c>
      <c r="M11" s="5">
        <v>1</v>
      </c>
    </row>
    <row r="12" spans="1:13" s="13" customFormat="1" ht="15" thickBot="1">
      <c r="A12" s="32"/>
      <c r="B12" s="32"/>
      <c r="C12" s="10">
        <v>11</v>
      </c>
      <c r="D12" s="10" t="s">
        <v>101</v>
      </c>
      <c r="E12" s="10" t="s">
        <v>174</v>
      </c>
      <c r="F12" s="11" t="s">
        <v>0</v>
      </c>
      <c r="G12" s="11" t="s">
        <v>102</v>
      </c>
      <c r="H12" s="12" t="s">
        <v>165</v>
      </c>
      <c r="I12" s="12" t="s">
        <v>165</v>
      </c>
      <c r="J12" s="11">
        <v>1</v>
      </c>
      <c r="K12" s="11">
        <v>1</v>
      </c>
      <c r="L12" s="10">
        <v>1</v>
      </c>
      <c r="M12" s="10">
        <v>0</v>
      </c>
    </row>
    <row r="13" spans="1:13" s="13" customFormat="1" ht="29.25" thickBot="1">
      <c r="A13" s="32"/>
      <c r="B13" s="32"/>
      <c r="C13" s="5">
        <v>12</v>
      </c>
      <c r="D13" s="10" t="s">
        <v>106</v>
      </c>
      <c r="E13" s="10" t="s">
        <v>145</v>
      </c>
      <c r="F13" s="11" t="s">
        <v>107</v>
      </c>
      <c r="G13" s="11" t="s">
        <v>108</v>
      </c>
      <c r="H13" s="12" t="s">
        <v>165</v>
      </c>
      <c r="I13" s="12" t="s">
        <v>165</v>
      </c>
      <c r="J13" s="11">
        <v>1</v>
      </c>
      <c r="K13" s="11">
        <v>1</v>
      </c>
      <c r="L13" s="10">
        <v>1</v>
      </c>
      <c r="M13" s="10">
        <v>0</v>
      </c>
    </row>
    <row r="14" spans="1:13" s="13" customFormat="1" ht="29.25" thickBot="1">
      <c r="A14" s="32"/>
      <c r="B14" s="32"/>
      <c r="C14" s="5">
        <v>13</v>
      </c>
      <c r="D14" s="10" t="s">
        <v>109</v>
      </c>
      <c r="E14" s="10" t="s">
        <v>146</v>
      </c>
      <c r="F14" s="11" t="s">
        <v>69</v>
      </c>
      <c r="G14" s="11" t="s">
        <v>70</v>
      </c>
      <c r="H14" s="12" t="s">
        <v>170</v>
      </c>
      <c r="I14" s="12" t="s">
        <v>70</v>
      </c>
      <c r="J14" s="11">
        <v>1</v>
      </c>
      <c r="K14" s="11">
        <v>1</v>
      </c>
      <c r="L14" s="10">
        <v>1</v>
      </c>
      <c r="M14" s="10">
        <v>0</v>
      </c>
    </row>
    <row r="15" spans="1:13" s="13" customFormat="1" ht="29.25" thickBot="1">
      <c r="A15" s="32"/>
      <c r="B15" s="32"/>
      <c r="C15" s="10">
        <v>14</v>
      </c>
      <c r="D15" s="10" t="s">
        <v>81</v>
      </c>
      <c r="E15" s="10" t="s">
        <v>142</v>
      </c>
      <c r="F15" s="11" t="s">
        <v>82</v>
      </c>
      <c r="G15" s="11" t="s">
        <v>83</v>
      </c>
      <c r="H15" s="12" t="s">
        <v>165</v>
      </c>
      <c r="I15" s="12" t="s">
        <v>165</v>
      </c>
      <c r="J15" s="11">
        <v>1</v>
      </c>
      <c r="K15" s="11">
        <v>1</v>
      </c>
      <c r="L15" s="10">
        <v>1</v>
      </c>
      <c r="M15" s="10">
        <v>1</v>
      </c>
    </row>
    <row r="16" spans="1:13" ht="57.75" thickBot="1">
      <c r="A16" s="32"/>
      <c r="B16" s="32" t="s">
        <v>175</v>
      </c>
      <c r="C16" s="10">
        <v>15</v>
      </c>
      <c r="D16" s="5" t="s">
        <v>176</v>
      </c>
      <c r="E16" s="5" t="s">
        <v>120</v>
      </c>
      <c r="F16" s="3" t="s">
        <v>0</v>
      </c>
      <c r="G16" s="3" t="s">
        <v>1</v>
      </c>
      <c r="H16" s="2" t="s">
        <v>380</v>
      </c>
      <c r="I16" s="2" t="s">
        <v>2</v>
      </c>
      <c r="J16" s="3">
        <v>2</v>
      </c>
      <c r="K16" s="3">
        <v>2</v>
      </c>
      <c r="L16" s="5">
        <v>0</v>
      </c>
      <c r="M16" s="5">
        <v>1</v>
      </c>
    </row>
    <row r="17" spans="1:13" ht="15" thickBot="1">
      <c r="A17" s="32"/>
      <c r="B17" s="32"/>
      <c r="C17" s="5">
        <v>16</v>
      </c>
      <c r="D17" s="5" t="s">
        <v>6</v>
      </c>
      <c r="E17" s="5" t="s">
        <v>122</v>
      </c>
      <c r="F17" s="3" t="s">
        <v>7</v>
      </c>
      <c r="G17" s="3" t="s">
        <v>8</v>
      </c>
      <c r="H17" s="2" t="s">
        <v>165</v>
      </c>
      <c r="I17" s="2" t="s">
        <v>165</v>
      </c>
      <c r="J17" s="3">
        <v>1</v>
      </c>
      <c r="K17" s="3">
        <v>1</v>
      </c>
      <c r="L17" s="5">
        <v>0</v>
      </c>
      <c r="M17" s="5">
        <v>1</v>
      </c>
    </row>
    <row r="18" spans="1:13" ht="57.75" thickBot="1">
      <c r="A18" s="32"/>
      <c r="B18" s="32"/>
      <c r="C18" s="5">
        <v>17</v>
      </c>
      <c r="D18" s="24" t="s">
        <v>177</v>
      </c>
      <c r="E18" s="5" t="s">
        <v>127</v>
      </c>
      <c r="F18" s="3" t="s">
        <v>19</v>
      </c>
      <c r="G18" s="3" t="s">
        <v>178</v>
      </c>
      <c r="H18" s="2" t="s">
        <v>367</v>
      </c>
      <c r="I18" s="2" t="s">
        <v>165</v>
      </c>
      <c r="J18" s="3">
        <v>3</v>
      </c>
      <c r="K18" s="3">
        <v>3</v>
      </c>
      <c r="L18" s="5">
        <v>0</v>
      </c>
      <c r="M18" s="5">
        <v>1</v>
      </c>
    </row>
    <row r="19" spans="1:13" ht="29.25" thickBot="1">
      <c r="A19" s="32"/>
      <c r="B19" s="32"/>
      <c r="C19" s="10">
        <v>18</v>
      </c>
      <c r="D19" s="24" t="s">
        <v>33</v>
      </c>
      <c r="E19" s="5" t="s">
        <v>179</v>
      </c>
      <c r="F19" s="3" t="s">
        <v>34</v>
      </c>
      <c r="G19" s="3" t="s">
        <v>180</v>
      </c>
      <c r="H19" s="2" t="s">
        <v>165</v>
      </c>
      <c r="I19" s="2" t="s">
        <v>165</v>
      </c>
      <c r="J19" s="3">
        <v>2</v>
      </c>
      <c r="K19" s="3">
        <v>2</v>
      </c>
      <c r="L19" s="5">
        <v>0</v>
      </c>
      <c r="M19" s="5">
        <v>1</v>
      </c>
    </row>
    <row r="20" spans="1:13" ht="29.25" thickBot="1">
      <c r="A20" s="32"/>
      <c r="B20" s="32"/>
      <c r="C20" s="10">
        <v>19</v>
      </c>
      <c r="D20" s="5" t="s">
        <v>35</v>
      </c>
      <c r="E20" s="5" t="s">
        <v>131</v>
      </c>
      <c r="F20" s="3" t="s">
        <v>0</v>
      </c>
      <c r="G20" s="3" t="s">
        <v>2</v>
      </c>
      <c r="H20" s="2" t="s">
        <v>381</v>
      </c>
      <c r="I20" s="2" t="s">
        <v>2</v>
      </c>
      <c r="J20" s="3">
        <v>1</v>
      </c>
      <c r="K20" s="3">
        <v>1</v>
      </c>
      <c r="L20" s="5">
        <v>0</v>
      </c>
      <c r="M20" s="5">
        <v>1</v>
      </c>
    </row>
    <row r="21" spans="1:13" ht="15" thickBot="1">
      <c r="A21" s="32"/>
      <c r="B21" s="32"/>
      <c r="C21" s="5">
        <v>20</v>
      </c>
      <c r="D21" s="5" t="s">
        <v>36</v>
      </c>
      <c r="E21" s="5" t="s">
        <v>132</v>
      </c>
      <c r="F21" s="3" t="s">
        <v>37</v>
      </c>
      <c r="G21" s="3" t="s">
        <v>38</v>
      </c>
      <c r="H21" s="2" t="s">
        <v>165</v>
      </c>
      <c r="I21" s="2" t="s">
        <v>165</v>
      </c>
      <c r="J21" s="3">
        <v>1</v>
      </c>
      <c r="K21" s="3">
        <v>1</v>
      </c>
      <c r="L21" s="5">
        <v>0</v>
      </c>
      <c r="M21" s="5">
        <v>1</v>
      </c>
    </row>
    <row r="22" spans="1:13" ht="15" thickBot="1">
      <c r="A22" s="32"/>
      <c r="B22" s="32"/>
      <c r="C22" s="5">
        <v>21</v>
      </c>
      <c r="D22" s="5" t="s">
        <v>52</v>
      </c>
      <c r="E22" s="5" t="s">
        <v>134</v>
      </c>
      <c r="F22" s="3" t="s">
        <v>53</v>
      </c>
      <c r="G22" s="3" t="s">
        <v>54</v>
      </c>
      <c r="H22" s="2" t="s">
        <v>165</v>
      </c>
      <c r="I22" s="2" t="s">
        <v>165</v>
      </c>
      <c r="J22" s="3">
        <v>1</v>
      </c>
      <c r="K22" s="3">
        <v>1</v>
      </c>
      <c r="L22" s="5">
        <v>0</v>
      </c>
      <c r="M22" s="5">
        <v>1</v>
      </c>
    </row>
    <row r="23" spans="1:13" ht="43.5" thickBot="1">
      <c r="A23" s="32"/>
      <c r="B23" s="32"/>
      <c r="C23" s="10">
        <v>22</v>
      </c>
      <c r="D23" s="5" t="s">
        <v>181</v>
      </c>
      <c r="E23" s="5" t="s">
        <v>182</v>
      </c>
      <c r="F23" s="3" t="s">
        <v>144</v>
      </c>
      <c r="G23" s="3" t="s">
        <v>183</v>
      </c>
      <c r="H23" s="2" t="s">
        <v>381</v>
      </c>
      <c r="I23" s="2" t="s">
        <v>2</v>
      </c>
      <c r="J23" s="3">
        <v>3</v>
      </c>
      <c r="K23" s="3">
        <v>3</v>
      </c>
      <c r="L23" s="5">
        <v>0</v>
      </c>
      <c r="M23" s="5">
        <v>1</v>
      </c>
    </row>
    <row r="24" spans="1:13" ht="15" thickBot="1">
      <c r="A24" s="32"/>
      <c r="B24" s="32"/>
      <c r="C24" s="10">
        <v>23</v>
      </c>
      <c r="D24" s="5" t="s">
        <v>90</v>
      </c>
      <c r="E24" s="5" t="s">
        <v>184</v>
      </c>
      <c r="F24" s="3" t="s">
        <v>64</v>
      </c>
      <c r="G24" s="3" t="s">
        <v>65</v>
      </c>
      <c r="H24" s="2" t="s">
        <v>165</v>
      </c>
      <c r="I24" s="2" t="s">
        <v>165</v>
      </c>
      <c r="J24" s="3">
        <v>1</v>
      </c>
      <c r="K24" s="3">
        <v>1</v>
      </c>
      <c r="L24" s="5">
        <v>0</v>
      </c>
      <c r="M24" s="5">
        <v>1</v>
      </c>
    </row>
    <row r="25" spans="1:13" s="13" customFormat="1" ht="15" thickBot="1">
      <c r="A25" s="32"/>
      <c r="B25" s="32" t="s">
        <v>185</v>
      </c>
      <c r="C25" s="5">
        <v>24</v>
      </c>
      <c r="D25" s="10" t="s">
        <v>3</v>
      </c>
      <c r="E25" s="10" t="s">
        <v>186</v>
      </c>
      <c r="F25" s="11" t="s">
        <v>4</v>
      </c>
      <c r="G25" s="11" t="s">
        <v>5</v>
      </c>
      <c r="H25" s="12" t="s">
        <v>165</v>
      </c>
      <c r="I25" s="12" t="s">
        <v>165</v>
      </c>
      <c r="J25" s="11">
        <v>1</v>
      </c>
      <c r="K25" s="20"/>
      <c r="L25" s="10">
        <v>0</v>
      </c>
      <c r="M25" s="10">
        <v>1</v>
      </c>
    </row>
    <row r="26" spans="1:13" s="13" customFormat="1" ht="29.25" thickBot="1">
      <c r="A26" s="32"/>
      <c r="B26" s="32"/>
      <c r="C26" s="5">
        <v>25</v>
      </c>
      <c r="D26" s="10" t="s">
        <v>126</v>
      </c>
      <c r="E26" s="10" t="s">
        <v>187</v>
      </c>
      <c r="F26" s="11" t="s">
        <v>17</v>
      </c>
      <c r="G26" s="11" t="s">
        <v>18</v>
      </c>
      <c r="H26" s="12" t="s">
        <v>382</v>
      </c>
      <c r="I26" s="12" t="s">
        <v>368</v>
      </c>
      <c r="J26" s="11">
        <v>1</v>
      </c>
      <c r="K26" s="20"/>
      <c r="L26" s="10">
        <v>0</v>
      </c>
      <c r="M26" s="10">
        <v>1</v>
      </c>
    </row>
    <row r="27" spans="1:13" s="13" customFormat="1" ht="29.25" thickBot="1">
      <c r="A27" s="32"/>
      <c r="B27" s="32"/>
      <c r="C27" s="10">
        <v>26</v>
      </c>
      <c r="D27" s="25" t="s">
        <v>22</v>
      </c>
      <c r="E27" s="10" t="s">
        <v>129</v>
      </c>
      <c r="F27" s="11" t="s">
        <v>23</v>
      </c>
      <c r="G27" s="11" t="s">
        <v>24</v>
      </c>
      <c r="H27" s="12" t="s">
        <v>165</v>
      </c>
      <c r="I27" s="12" t="s">
        <v>165</v>
      </c>
      <c r="J27" s="11">
        <v>2</v>
      </c>
      <c r="K27" s="20"/>
      <c r="L27" s="10">
        <v>0</v>
      </c>
      <c r="M27" s="10">
        <v>1</v>
      </c>
    </row>
    <row r="28" spans="1:13" ht="15" thickBot="1">
      <c r="A28" s="32"/>
      <c r="B28" s="32"/>
      <c r="C28" s="10">
        <v>27</v>
      </c>
      <c r="D28" s="5" t="s">
        <v>30</v>
      </c>
      <c r="E28" s="5" t="s">
        <v>188</v>
      </c>
      <c r="F28" s="3" t="s">
        <v>31</v>
      </c>
      <c r="G28" s="3" t="s">
        <v>32</v>
      </c>
      <c r="H28" s="2" t="s">
        <v>189</v>
      </c>
      <c r="I28" s="2" t="s">
        <v>165</v>
      </c>
      <c r="J28" s="3">
        <v>2</v>
      </c>
      <c r="K28" s="19"/>
      <c r="L28" s="5">
        <v>0</v>
      </c>
      <c r="M28" s="5">
        <v>1</v>
      </c>
    </row>
    <row r="29" spans="1:13" s="13" customFormat="1" ht="15" thickBot="1">
      <c r="A29" s="32"/>
      <c r="B29" s="32"/>
      <c r="C29" s="5">
        <v>28</v>
      </c>
      <c r="D29" s="25" t="s">
        <v>39</v>
      </c>
      <c r="E29" s="10" t="s">
        <v>190</v>
      </c>
      <c r="F29" s="11" t="s">
        <v>40</v>
      </c>
      <c r="G29" s="11" t="s">
        <v>41</v>
      </c>
      <c r="H29" s="12" t="s">
        <v>165</v>
      </c>
      <c r="I29" s="12" t="s">
        <v>165</v>
      </c>
      <c r="J29" s="11">
        <v>1</v>
      </c>
      <c r="K29" s="20"/>
      <c r="L29" s="10">
        <v>0</v>
      </c>
      <c r="M29" s="10">
        <v>1</v>
      </c>
    </row>
    <row r="30" spans="1:13" s="13" customFormat="1" ht="171.75" thickBot="1">
      <c r="A30" s="32"/>
      <c r="B30" s="32"/>
      <c r="C30" s="5">
        <v>29</v>
      </c>
      <c r="D30" s="25" t="s">
        <v>46</v>
      </c>
      <c r="E30" s="10" t="s">
        <v>191</v>
      </c>
      <c r="F30" s="11" t="s">
        <v>47</v>
      </c>
      <c r="G30" s="11" t="s">
        <v>48</v>
      </c>
      <c r="H30" s="12" t="s">
        <v>383</v>
      </c>
      <c r="I30" s="12" t="s">
        <v>192</v>
      </c>
      <c r="J30" s="11">
        <v>3</v>
      </c>
      <c r="K30" s="20"/>
      <c r="L30" s="10">
        <v>0</v>
      </c>
      <c r="M30" s="10">
        <v>1</v>
      </c>
    </row>
    <row r="31" spans="1:13" s="13" customFormat="1" ht="15" thickBot="1">
      <c r="A31" s="32"/>
      <c r="B31" s="32"/>
      <c r="C31" s="10">
        <v>30</v>
      </c>
      <c r="D31" s="25" t="s">
        <v>50</v>
      </c>
      <c r="E31" s="10" t="s">
        <v>193</v>
      </c>
      <c r="F31" s="11" t="s">
        <v>51</v>
      </c>
      <c r="G31" s="11" t="s">
        <v>38</v>
      </c>
      <c r="H31" s="12" t="s">
        <v>165</v>
      </c>
      <c r="I31" s="12" t="s">
        <v>165</v>
      </c>
      <c r="J31" s="11">
        <v>1</v>
      </c>
      <c r="K31" s="20"/>
      <c r="L31" s="10">
        <v>0</v>
      </c>
      <c r="M31" s="10">
        <v>1</v>
      </c>
    </row>
    <row r="32" spans="1:13" s="13" customFormat="1" ht="29.25" thickBot="1">
      <c r="A32" s="32"/>
      <c r="B32" s="32"/>
      <c r="C32" s="10">
        <v>31</v>
      </c>
      <c r="D32" s="10" t="s">
        <v>74</v>
      </c>
      <c r="E32" s="10" t="s">
        <v>194</v>
      </c>
      <c r="F32" s="11" t="s">
        <v>75</v>
      </c>
      <c r="G32" s="11" t="s">
        <v>76</v>
      </c>
      <c r="H32" s="12" t="s">
        <v>165</v>
      </c>
      <c r="I32" s="12" t="s">
        <v>165</v>
      </c>
      <c r="J32" s="11">
        <v>2</v>
      </c>
      <c r="K32" s="20"/>
      <c r="L32" s="10">
        <v>0</v>
      </c>
      <c r="M32" s="10">
        <v>1</v>
      </c>
    </row>
    <row r="33" spans="1:15" s="13" customFormat="1" ht="171.75" thickBot="1">
      <c r="A33" s="32"/>
      <c r="B33" s="32"/>
      <c r="C33" s="5">
        <v>32</v>
      </c>
      <c r="D33" s="10" t="s">
        <v>94</v>
      </c>
      <c r="E33" s="10" t="s">
        <v>195</v>
      </c>
      <c r="F33" s="11" t="s">
        <v>95</v>
      </c>
      <c r="G33" s="11" t="s">
        <v>96</v>
      </c>
      <c r="H33" s="12" t="s">
        <v>196</v>
      </c>
      <c r="I33" s="12" t="s">
        <v>197</v>
      </c>
      <c r="J33" s="11">
        <v>3</v>
      </c>
      <c r="K33" s="20"/>
      <c r="L33" s="10">
        <v>0</v>
      </c>
      <c r="M33" s="10">
        <v>1</v>
      </c>
    </row>
    <row r="34" spans="1:15" ht="29.25" thickBot="1">
      <c r="A34" s="32" t="s">
        <v>199</v>
      </c>
      <c r="B34" s="32" t="s">
        <v>200</v>
      </c>
      <c r="C34" s="5">
        <v>33</v>
      </c>
      <c r="D34" s="5" t="s">
        <v>9</v>
      </c>
      <c r="E34" s="5" t="s">
        <v>123</v>
      </c>
      <c r="F34" s="3" t="s">
        <v>10</v>
      </c>
      <c r="G34" s="3" t="s">
        <v>11</v>
      </c>
      <c r="H34" s="2" t="s">
        <v>201</v>
      </c>
      <c r="I34" s="2" t="s">
        <v>165</v>
      </c>
      <c r="J34" s="3">
        <v>2</v>
      </c>
      <c r="K34" s="3">
        <v>2</v>
      </c>
      <c r="L34" s="5">
        <v>1</v>
      </c>
      <c r="M34" s="5">
        <v>1</v>
      </c>
    </row>
    <row r="35" spans="1:15" ht="15" thickBot="1">
      <c r="A35" s="32"/>
      <c r="B35" s="32"/>
      <c r="C35" s="10">
        <v>34</v>
      </c>
      <c r="D35" s="5" t="s">
        <v>14</v>
      </c>
      <c r="E35" s="5" t="s">
        <v>125</v>
      </c>
      <c r="F35" s="3" t="s">
        <v>15</v>
      </c>
      <c r="G35" s="3" t="s">
        <v>16</v>
      </c>
      <c r="H35" s="2" t="s">
        <v>165</v>
      </c>
      <c r="I35" s="2" t="s">
        <v>165</v>
      </c>
      <c r="J35" s="3">
        <v>1</v>
      </c>
      <c r="K35" s="3">
        <v>1</v>
      </c>
      <c r="L35" s="5">
        <v>1</v>
      </c>
      <c r="M35" s="5">
        <v>1</v>
      </c>
    </row>
    <row r="36" spans="1:15" s="13" customFormat="1" ht="15" thickBot="1">
      <c r="A36" s="32"/>
      <c r="B36" s="32"/>
      <c r="C36" s="10">
        <v>35</v>
      </c>
      <c r="D36" s="25" t="s">
        <v>49</v>
      </c>
      <c r="E36" s="10" t="s">
        <v>202</v>
      </c>
      <c r="F36" s="11" t="s">
        <v>7</v>
      </c>
      <c r="G36" s="11" t="s">
        <v>8</v>
      </c>
      <c r="H36" s="12" t="s">
        <v>165</v>
      </c>
      <c r="I36" s="12" t="s">
        <v>165</v>
      </c>
      <c r="J36" s="11">
        <v>1</v>
      </c>
      <c r="K36" s="11">
        <v>1</v>
      </c>
      <c r="L36" s="10">
        <v>1</v>
      </c>
      <c r="M36" s="10">
        <v>0</v>
      </c>
    </row>
    <row r="37" spans="1:15" ht="29.25" thickBot="1">
      <c r="A37" s="32"/>
      <c r="B37" s="32"/>
      <c r="C37" s="5">
        <v>36</v>
      </c>
      <c r="D37" s="5" t="s">
        <v>103</v>
      </c>
      <c r="E37" s="5" t="s">
        <v>148</v>
      </c>
      <c r="F37" s="3" t="s">
        <v>104</v>
      </c>
      <c r="G37" s="3" t="s">
        <v>105</v>
      </c>
      <c r="H37" s="2" t="s">
        <v>203</v>
      </c>
      <c r="I37" s="2" t="s">
        <v>105</v>
      </c>
      <c r="J37" s="3">
        <v>1</v>
      </c>
      <c r="K37" s="3">
        <v>1</v>
      </c>
      <c r="L37" s="5">
        <v>1</v>
      </c>
      <c r="M37" s="5">
        <v>1</v>
      </c>
    </row>
    <row r="38" spans="1:15" s="13" customFormat="1" ht="29.25" thickBot="1">
      <c r="A38" s="32"/>
      <c r="B38" s="32"/>
      <c r="C38" s="5">
        <v>37</v>
      </c>
      <c r="D38" s="10" t="s">
        <v>110</v>
      </c>
      <c r="E38" s="10" t="s">
        <v>149</v>
      </c>
      <c r="F38" s="11" t="s">
        <v>111</v>
      </c>
      <c r="G38" s="11" t="s">
        <v>112</v>
      </c>
      <c r="H38" s="12" t="s">
        <v>165</v>
      </c>
      <c r="I38" s="12" t="s">
        <v>165</v>
      </c>
      <c r="J38" s="11">
        <v>1</v>
      </c>
      <c r="K38" s="11">
        <v>1</v>
      </c>
      <c r="L38" s="10">
        <v>1</v>
      </c>
      <c r="M38" s="10">
        <v>1</v>
      </c>
    </row>
    <row r="39" spans="1:15" s="13" customFormat="1" ht="15" thickBot="1">
      <c r="A39" s="32"/>
      <c r="B39" s="32"/>
      <c r="C39" s="10">
        <v>38</v>
      </c>
      <c r="D39" s="10" t="s">
        <v>113</v>
      </c>
      <c r="E39" s="10" t="s">
        <v>150</v>
      </c>
      <c r="F39" s="11" t="s">
        <v>114</v>
      </c>
      <c r="G39" s="11" t="s">
        <v>115</v>
      </c>
      <c r="H39" s="12" t="s">
        <v>165</v>
      </c>
      <c r="I39" s="12" t="s">
        <v>165</v>
      </c>
      <c r="J39" s="11">
        <v>1</v>
      </c>
      <c r="K39" s="11">
        <v>1</v>
      </c>
      <c r="L39" s="10">
        <v>1</v>
      </c>
      <c r="M39" s="10">
        <v>1</v>
      </c>
    </row>
    <row r="40" spans="1:15" ht="29.25" thickBot="1">
      <c r="A40" s="32"/>
      <c r="B40" s="32" t="s">
        <v>204</v>
      </c>
      <c r="C40" s="10">
        <v>39</v>
      </c>
      <c r="D40" s="5" t="s">
        <v>205</v>
      </c>
      <c r="E40" s="5" t="s">
        <v>124</v>
      </c>
      <c r="F40" s="3" t="s">
        <v>12</v>
      </c>
      <c r="G40" s="3" t="s">
        <v>13</v>
      </c>
      <c r="H40" s="2" t="s">
        <v>165</v>
      </c>
      <c r="I40" s="2" t="s">
        <v>165</v>
      </c>
      <c r="J40" s="3">
        <v>1</v>
      </c>
      <c r="K40" s="3">
        <v>1</v>
      </c>
      <c r="L40" s="5">
        <v>0</v>
      </c>
      <c r="M40" s="5">
        <v>1</v>
      </c>
    </row>
    <row r="41" spans="1:15" ht="15" thickBot="1">
      <c r="A41" s="32"/>
      <c r="B41" s="32"/>
      <c r="C41" s="5">
        <v>40</v>
      </c>
      <c r="D41" s="24" t="s">
        <v>42</v>
      </c>
      <c r="E41" s="5" t="s">
        <v>133</v>
      </c>
      <c r="F41" s="3" t="s">
        <v>43</v>
      </c>
      <c r="G41" s="3" t="s">
        <v>44</v>
      </c>
      <c r="H41" s="2" t="s">
        <v>165</v>
      </c>
      <c r="I41" s="2" t="s">
        <v>165</v>
      </c>
      <c r="J41" s="3">
        <v>1</v>
      </c>
      <c r="K41" s="3">
        <v>1</v>
      </c>
      <c r="L41" s="5">
        <v>0</v>
      </c>
      <c r="M41" s="5">
        <v>1</v>
      </c>
    </row>
    <row r="42" spans="1:15" s="13" customFormat="1" ht="15" thickBot="1">
      <c r="A42" s="32"/>
      <c r="B42" s="32"/>
      <c r="C42" s="5">
        <v>41</v>
      </c>
      <c r="D42" s="10" t="s">
        <v>63</v>
      </c>
      <c r="E42" s="10" t="s">
        <v>136</v>
      </c>
      <c r="F42" s="11" t="s">
        <v>64</v>
      </c>
      <c r="G42" s="11" t="s">
        <v>65</v>
      </c>
      <c r="H42" s="12" t="s">
        <v>165</v>
      </c>
      <c r="I42" s="12" t="s">
        <v>165</v>
      </c>
      <c r="J42" s="11">
        <v>1</v>
      </c>
      <c r="K42" s="11">
        <v>1</v>
      </c>
      <c r="L42" s="10">
        <v>0</v>
      </c>
      <c r="M42" s="10">
        <v>1</v>
      </c>
    </row>
    <row r="43" spans="1:15" ht="29.25" thickBot="1">
      <c r="A43" s="32"/>
      <c r="B43" s="32"/>
      <c r="C43" s="10">
        <v>42</v>
      </c>
      <c r="D43" s="5" t="s">
        <v>80</v>
      </c>
      <c r="E43" s="5" t="s">
        <v>141</v>
      </c>
      <c r="F43" s="3" t="s">
        <v>0</v>
      </c>
      <c r="G43" s="3" t="s">
        <v>2</v>
      </c>
      <c r="H43" s="2" t="s">
        <v>173</v>
      </c>
      <c r="I43" s="2" t="s">
        <v>2</v>
      </c>
      <c r="J43" s="3">
        <v>1</v>
      </c>
      <c r="K43" s="3">
        <v>1</v>
      </c>
      <c r="L43" s="5">
        <v>0</v>
      </c>
      <c r="M43" s="5">
        <v>1</v>
      </c>
    </row>
    <row r="44" spans="1:15" ht="15" thickBot="1">
      <c r="A44" s="32"/>
      <c r="B44" s="32"/>
      <c r="C44" s="10">
        <v>43</v>
      </c>
      <c r="D44" s="5" t="s">
        <v>88</v>
      </c>
      <c r="E44" s="5" t="s">
        <v>206</v>
      </c>
      <c r="F44" s="3" t="s">
        <v>26</v>
      </c>
      <c r="G44" s="3" t="s">
        <v>89</v>
      </c>
      <c r="H44" s="2" t="s">
        <v>165</v>
      </c>
      <c r="I44" s="2" t="s">
        <v>165</v>
      </c>
      <c r="J44" s="3">
        <v>1</v>
      </c>
      <c r="K44" s="3">
        <v>1</v>
      </c>
      <c r="L44" s="5">
        <v>0</v>
      </c>
      <c r="M44" s="5">
        <v>1</v>
      </c>
    </row>
    <row r="45" spans="1:15" s="13" customFormat="1" ht="15" thickBot="1">
      <c r="A45" s="32"/>
      <c r="B45" s="33" t="s">
        <v>185</v>
      </c>
      <c r="C45" s="5">
        <v>44</v>
      </c>
      <c r="D45" s="10" t="s">
        <v>207</v>
      </c>
      <c r="E45" s="10" t="s">
        <v>208</v>
      </c>
      <c r="F45" s="11" t="s">
        <v>28</v>
      </c>
      <c r="G45" s="11" t="s">
        <v>29</v>
      </c>
      <c r="H45" s="12" t="s">
        <v>165</v>
      </c>
      <c r="I45" s="12" t="s">
        <v>165</v>
      </c>
      <c r="J45" s="11">
        <v>1</v>
      </c>
      <c r="K45" s="20"/>
      <c r="L45" s="10">
        <v>0</v>
      </c>
      <c r="M45" s="10">
        <v>1</v>
      </c>
    </row>
    <row r="46" spans="1:15" s="13" customFormat="1" ht="43.5" thickBot="1">
      <c r="A46" s="32"/>
      <c r="B46" s="33"/>
      <c r="C46" s="5">
        <v>45</v>
      </c>
      <c r="D46" s="10" t="s">
        <v>209</v>
      </c>
      <c r="E46" s="10" t="s">
        <v>210</v>
      </c>
      <c r="F46" s="11" t="s">
        <v>86</v>
      </c>
      <c r="G46" s="11" t="s">
        <v>87</v>
      </c>
      <c r="H46" s="12" t="s">
        <v>165</v>
      </c>
      <c r="I46" s="12" t="s">
        <v>165</v>
      </c>
      <c r="J46" s="11">
        <v>1</v>
      </c>
      <c r="K46" s="20"/>
      <c r="L46" s="10">
        <v>0</v>
      </c>
      <c r="M46" s="10">
        <v>1</v>
      </c>
    </row>
    <row r="47" spans="1:15" ht="43.5" thickBot="1">
      <c r="A47" s="32"/>
      <c r="B47" s="5" t="s">
        <v>211</v>
      </c>
      <c r="C47" s="10">
        <v>46</v>
      </c>
      <c r="D47" s="3" t="s">
        <v>118</v>
      </c>
      <c r="E47" s="17" t="s">
        <v>363</v>
      </c>
      <c r="F47" s="3" t="s">
        <v>119</v>
      </c>
      <c r="G47" s="3" t="s">
        <v>358</v>
      </c>
      <c r="H47" s="4" t="s">
        <v>198</v>
      </c>
      <c r="I47" s="4" t="s">
        <v>198</v>
      </c>
      <c r="J47" s="4">
        <v>1</v>
      </c>
      <c r="K47" s="19"/>
      <c r="L47" s="5">
        <v>0</v>
      </c>
      <c r="M47" s="5">
        <v>0</v>
      </c>
    </row>
    <row r="48" spans="1:15" s="13" customFormat="1" ht="72" thickBot="1">
      <c r="A48" s="32" t="s">
        <v>212</v>
      </c>
      <c r="B48" s="32" t="s">
        <v>200</v>
      </c>
      <c r="C48" s="10">
        <v>47</v>
      </c>
      <c r="D48" s="10" t="s">
        <v>45</v>
      </c>
      <c r="E48" s="10" t="s">
        <v>213</v>
      </c>
      <c r="F48" s="11" t="s">
        <v>0</v>
      </c>
      <c r="G48" s="11" t="s">
        <v>214</v>
      </c>
      <c r="H48" s="12" t="s">
        <v>215</v>
      </c>
      <c r="I48" s="12" t="s">
        <v>369</v>
      </c>
      <c r="J48" s="11">
        <v>3</v>
      </c>
      <c r="K48" s="11">
        <v>3</v>
      </c>
      <c r="L48" s="10">
        <v>1</v>
      </c>
      <c r="M48" s="10">
        <v>0</v>
      </c>
      <c r="O48"/>
    </row>
    <row r="49" spans="1:13" ht="57.75" thickBot="1">
      <c r="A49" s="32"/>
      <c r="B49" s="32"/>
      <c r="C49" s="5">
        <v>48</v>
      </c>
      <c r="D49" s="5" t="s">
        <v>71</v>
      </c>
      <c r="E49" s="5" t="s">
        <v>138</v>
      </c>
      <c r="F49" s="3" t="s">
        <v>72</v>
      </c>
      <c r="G49" s="3" t="s">
        <v>73</v>
      </c>
      <c r="H49" s="2" t="s">
        <v>216</v>
      </c>
      <c r="I49" s="2" t="s">
        <v>165</v>
      </c>
      <c r="J49" s="3">
        <v>4</v>
      </c>
      <c r="K49" s="3">
        <v>4</v>
      </c>
      <c r="L49" s="5">
        <v>1</v>
      </c>
      <c r="M49" s="5">
        <v>1</v>
      </c>
    </row>
    <row r="50" spans="1:13" s="13" customFormat="1" ht="29.25" thickBot="1">
      <c r="A50" s="32"/>
      <c r="B50" s="32"/>
      <c r="C50" s="5">
        <v>49</v>
      </c>
      <c r="D50" s="10" t="s">
        <v>77</v>
      </c>
      <c r="E50" s="10" t="s">
        <v>140</v>
      </c>
      <c r="F50" s="11" t="s">
        <v>78</v>
      </c>
      <c r="G50" s="11" t="s">
        <v>79</v>
      </c>
      <c r="H50" s="12" t="s">
        <v>217</v>
      </c>
      <c r="I50" s="12" t="s">
        <v>165</v>
      </c>
      <c r="J50" s="11">
        <v>1</v>
      </c>
      <c r="K50" s="11">
        <v>1</v>
      </c>
      <c r="L50" s="10">
        <v>1</v>
      </c>
      <c r="M50" s="10">
        <v>0</v>
      </c>
    </row>
    <row r="51" spans="1:13" ht="29.25" thickBot="1">
      <c r="A51" s="32"/>
      <c r="B51" s="5" t="s">
        <v>175</v>
      </c>
      <c r="C51" s="10">
        <v>50</v>
      </c>
      <c r="D51" s="5" t="s">
        <v>57</v>
      </c>
      <c r="E51" s="5" t="s">
        <v>218</v>
      </c>
      <c r="F51" s="3" t="s">
        <v>58</v>
      </c>
      <c r="G51" s="3" t="s">
        <v>59</v>
      </c>
      <c r="H51" s="2" t="s">
        <v>165</v>
      </c>
      <c r="I51" s="2" t="s">
        <v>165</v>
      </c>
      <c r="J51" s="3">
        <v>2</v>
      </c>
      <c r="K51" s="3">
        <v>2</v>
      </c>
      <c r="L51" s="5">
        <v>0</v>
      </c>
      <c r="M51" s="5">
        <v>1</v>
      </c>
    </row>
    <row r="52" spans="1:13">
      <c r="J52" s="29">
        <f>SUM(J2:J51)</f>
        <v>77</v>
      </c>
      <c r="K52" s="29">
        <f>SUM(K2:K51)</f>
        <v>58</v>
      </c>
      <c r="L52" s="29">
        <f>SUM(K2:K15)+SUM(K34:K39)+SUM(K48:K50)</f>
        <v>36</v>
      </c>
    </row>
    <row r="53" spans="1:13">
      <c r="K53" s="1">
        <f>SUM(K2:K24)</f>
        <v>36</v>
      </c>
      <c r="L53" s="30">
        <f>SUM(K2:K15)</f>
        <v>21</v>
      </c>
      <c r="M53">
        <f>SUM(J25:J33)</f>
        <v>16</v>
      </c>
    </row>
    <row r="54" spans="1:13">
      <c r="K54" s="1">
        <f>SUM(K34:K44)</f>
        <v>12</v>
      </c>
      <c r="L54" s="5">
        <f>SUM(K34:K39)</f>
        <v>7</v>
      </c>
      <c r="M54">
        <f>SUM(J45:J46)</f>
        <v>2</v>
      </c>
    </row>
    <row r="55" spans="1:13">
      <c r="K55" s="1">
        <f>SUM(K48:K51)</f>
        <v>10</v>
      </c>
      <c r="L55" s="5">
        <f>SUM(K48:K50)</f>
        <v>8</v>
      </c>
      <c r="M55">
        <v>0</v>
      </c>
    </row>
    <row r="56" spans="1:13">
      <c r="L56" s="5"/>
    </row>
    <row r="57" spans="1:13">
      <c r="L57" s="5"/>
    </row>
    <row r="63" spans="1:13" ht="15" thickBot="1"/>
    <row r="64" spans="1:13" ht="15" thickBot="1">
      <c r="A64" s="5"/>
      <c r="B64" s="5"/>
      <c r="C64" s="2"/>
      <c r="D64" s="2"/>
      <c r="E64" s="2"/>
    </row>
    <row r="65" spans="1:5" ht="15" thickBot="1">
      <c r="A65" s="2"/>
      <c r="B65" s="5"/>
      <c r="C65" s="5"/>
      <c r="D65" s="5"/>
      <c r="E65" s="5"/>
    </row>
    <row r="66" spans="1:5" ht="15" thickBot="1">
      <c r="A66" s="2"/>
      <c r="B66" s="5"/>
      <c r="C66" s="5"/>
      <c r="D66" s="5"/>
      <c r="E66" s="5"/>
    </row>
    <row r="67" spans="1:5" ht="15" thickBot="1">
      <c r="A67" s="2"/>
      <c r="B67" s="5"/>
      <c r="C67" s="5"/>
      <c r="D67" s="5"/>
      <c r="E67" s="5"/>
    </row>
    <row r="68" spans="1:5" ht="15" thickBot="1">
      <c r="A68" s="2"/>
      <c r="B68" s="5"/>
      <c r="C68" s="5"/>
      <c r="D68" s="5"/>
      <c r="E68" s="5"/>
    </row>
  </sheetData>
  <autoFilter ref="A1:M52" xr:uid="{00000000-0001-0000-0000-000000000000}"/>
  <mergeCells count="10">
    <mergeCell ref="B2:B15"/>
    <mergeCell ref="B16:B24"/>
    <mergeCell ref="B25:B33"/>
    <mergeCell ref="A2:A33"/>
    <mergeCell ref="A48:A51"/>
    <mergeCell ref="B34:B39"/>
    <mergeCell ref="B40:B44"/>
    <mergeCell ref="B45:B46"/>
    <mergeCell ref="B48:B50"/>
    <mergeCell ref="A34:A47"/>
  </mergeCells>
  <phoneticPr fontId="1" type="noConversion"/>
  <hyperlinks>
    <hyperlink ref="D2" r:id="rId1" xr:uid="{F8273473-BEFC-427A-AAEC-616BEE91E350}"/>
    <hyperlink ref="E47" r:id="rId2" xr:uid="{7EE6363B-F922-4216-A8F5-F02FCA3DCB88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DAEF-18B9-4FEC-8492-6D3FE16B4C6E}">
  <dimension ref="A1:M38"/>
  <sheetViews>
    <sheetView tabSelected="1" topLeftCell="F1" zoomScale="85" zoomScaleNormal="85" workbookViewId="0">
      <selection activeCell="I5" sqref="I5"/>
    </sheetView>
  </sheetViews>
  <sheetFormatPr defaultRowHeight="14.25"/>
  <cols>
    <col min="1" max="1" width="31.25" style="7" customWidth="1"/>
    <col min="2" max="2" width="8.875" style="7"/>
    <col min="3" max="3" width="54" style="7" customWidth="1"/>
    <col min="4" max="4" width="89.75" style="7" customWidth="1"/>
    <col min="5" max="5" width="9" style="7" customWidth="1"/>
    <col min="6" max="6" width="57.25" style="7" customWidth="1"/>
    <col min="7" max="7" width="68.5" style="7" customWidth="1"/>
    <col min="8" max="8" width="32.25" style="7" customWidth="1"/>
    <col min="9" max="9" width="17.75" style="7" customWidth="1"/>
    <col min="10" max="10" width="19" customWidth="1"/>
    <col min="11" max="11" width="20.75" customWidth="1"/>
  </cols>
  <sheetData>
    <row r="1" spans="1:11" ht="49.9" customHeight="1" thickBot="1">
      <c r="A1" s="3" t="s">
        <v>116</v>
      </c>
      <c r="B1" s="3" t="s">
        <v>151</v>
      </c>
      <c r="C1" s="3" t="s">
        <v>283</v>
      </c>
      <c r="D1" s="3" t="s">
        <v>121</v>
      </c>
      <c r="E1" s="3" t="s">
        <v>117</v>
      </c>
      <c r="F1" s="3" t="s">
        <v>185</v>
      </c>
      <c r="G1" s="3" t="s">
        <v>161</v>
      </c>
      <c r="H1" s="3" t="s">
        <v>160</v>
      </c>
      <c r="I1" s="3" t="s">
        <v>351</v>
      </c>
      <c r="J1" s="4" t="s">
        <v>353</v>
      </c>
      <c r="K1" s="4" t="s">
        <v>354</v>
      </c>
    </row>
    <row r="2" spans="1:11" s="13" customFormat="1" ht="49.9" customHeight="1" thickBot="1">
      <c r="A2" s="34" t="s">
        <v>152</v>
      </c>
      <c r="B2" s="7">
        <v>1</v>
      </c>
      <c r="C2" s="13" t="s">
        <v>282</v>
      </c>
      <c r="D2" s="13" t="s">
        <v>305</v>
      </c>
      <c r="E2" s="12" t="s">
        <v>219</v>
      </c>
      <c r="F2" s="12" t="s">
        <v>349</v>
      </c>
      <c r="G2" s="12" t="s">
        <v>347</v>
      </c>
      <c r="H2" s="12" t="s">
        <v>165</v>
      </c>
      <c r="I2" s="14">
        <v>8</v>
      </c>
      <c r="J2" s="13">
        <v>5</v>
      </c>
      <c r="K2" s="13">
        <v>5</v>
      </c>
    </row>
    <row r="3" spans="1:11" s="13" customFormat="1" ht="49.9" customHeight="1" thickBot="1">
      <c r="A3" s="35"/>
      <c r="B3" s="7">
        <v>2</v>
      </c>
      <c r="C3" s="13" t="s">
        <v>284</v>
      </c>
      <c r="D3" s="13" t="s">
        <v>342</v>
      </c>
      <c r="E3" s="12" t="s">
        <v>220</v>
      </c>
      <c r="F3" s="12" t="s">
        <v>222</v>
      </c>
      <c r="G3" s="12" t="s">
        <v>223</v>
      </c>
      <c r="H3" s="12" t="s">
        <v>165</v>
      </c>
      <c r="I3" s="14">
        <v>1</v>
      </c>
      <c r="J3" s="14">
        <v>1</v>
      </c>
      <c r="K3" s="14">
        <v>1</v>
      </c>
    </row>
    <row r="4" spans="1:11" s="13" customFormat="1" ht="49.9" customHeight="1" thickBot="1">
      <c r="A4" s="35"/>
      <c r="B4" s="7">
        <v>3</v>
      </c>
      <c r="C4" s="13" t="s">
        <v>285</v>
      </c>
      <c r="D4" s="13" t="s">
        <v>306</v>
      </c>
      <c r="E4" s="12" t="s">
        <v>224</v>
      </c>
      <c r="F4" s="12" t="s">
        <v>225</v>
      </c>
      <c r="G4" s="12" t="s">
        <v>165</v>
      </c>
      <c r="H4" s="12" t="s">
        <v>165</v>
      </c>
      <c r="I4" s="14">
        <v>1</v>
      </c>
      <c r="J4" s="14">
        <v>1</v>
      </c>
      <c r="K4" s="14">
        <v>1</v>
      </c>
    </row>
    <row r="5" spans="1:11" s="13" customFormat="1" ht="49.9" customHeight="1" thickBot="1">
      <c r="A5" s="35"/>
      <c r="B5" s="7">
        <v>4</v>
      </c>
      <c r="C5" s="13" t="s">
        <v>286</v>
      </c>
      <c r="D5" s="13" t="s">
        <v>307</v>
      </c>
      <c r="E5" s="12" t="s">
        <v>226</v>
      </c>
      <c r="F5" s="12" t="s">
        <v>377</v>
      </c>
      <c r="G5" s="12" t="s">
        <v>165</v>
      </c>
      <c r="H5" s="12" t="s">
        <v>165</v>
      </c>
      <c r="I5" s="14">
        <v>2</v>
      </c>
      <c r="J5" s="14">
        <v>2</v>
      </c>
      <c r="K5" s="14">
        <v>2</v>
      </c>
    </row>
    <row r="6" spans="1:11" ht="49.9" customHeight="1" thickBot="1">
      <c r="A6" s="35"/>
      <c r="B6" s="7">
        <v>5</v>
      </c>
      <c r="C6" t="s">
        <v>287</v>
      </c>
      <c r="D6" t="s">
        <v>308</v>
      </c>
      <c r="E6" s="2" t="s">
        <v>229</v>
      </c>
      <c r="F6" s="2" t="s">
        <v>230</v>
      </c>
      <c r="G6" s="2" t="s">
        <v>165</v>
      </c>
      <c r="H6" s="2" t="s">
        <v>165</v>
      </c>
      <c r="I6" s="6">
        <v>2</v>
      </c>
      <c r="J6" s="6">
        <v>2</v>
      </c>
      <c r="K6" s="6">
        <v>2</v>
      </c>
    </row>
    <row r="7" spans="1:11" ht="49.9" customHeight="1" thickBot="1">
      <c r="A7" s="35"/>
      <c r="B7" s="7">
        <v>6</v>
      </c>
      <c r="C7" t="s">
        <v>288</v>
      </c>
      <c r="D7" t="s">
        <v>309</v>
      </c>
      <c r="E7" s="2" t="s">
        <v>231</v>
      </c>
      <c r="F7" s="2" t="s">
        <v>348</v>
      </c>
      <c r="G7" s="2" t="s">
        <v>232</v>
      </c>
      <c r="H7" s="21" t="s">
        <v>370</v>
      </c>
      <c r="I7" s="6">
        <v>4</v>
      </c>
      <c r="J7" s="6">
        <v>4</v>
      </c>
      <c r="K7" s="6">
        <v>4</v>
      </c>
    </row>
    <row r="8" spans="1:11" ht="49.9" customHeight="1" thickBot="1">
      <c r="A8" s="35"/>
      <c r="B8" s="7">
        <v>7</v>
      </c>
      <c r="C8" t="s">
        <v>290</v>
      </c>
      <c r="D8" t="s">
        <v>310</v>
      </c>
      <c r="E8" s="2" t="s">
        <v>241</v>
      </c>
      <c r="F8" s="2" t="s">
        <v>359</v>
      </c>
      <c r="G8" s="2" t="s">
        <v>357</v>
      </c>
      <c r="H8" s="2" t="s">
        <v>165</v>
      </c>
      <c r="I8" s="6">
        <v>7</v>
      </c>
      <c r="J8">
        <v>4</v>
      </c>
      <c r="K8">
        <v>4</v>
      </c>
    </row>
    <row r="9" spans="1:11" ht="49.9" customHeight="1" thickBot="1">
      <c r="A9" s="35"/>
      <c r="B9" s="7">
        <v>8</v>
      </c>
      <c r="C9" t="s">
        <v>291</v>
      </c>
      <c r="D9" t="s">
        <v>311</v>
      </c>
      <c r="E9" s="2" t="s">
        <v>242</v>
      </c>
      <c r="F9" s="2" t="s">
        <v>243</v>
      </c>
      <c r="G9" s="2" t="s">
        <v>244</v>
      </c>
      <c r="H9" s="2" t="s">
        <v>165</v>
      </c>
      <c r="I9" s="6">
        <v>1</v>
      </c>
      <c r="J9" s="6">
        <v>1</v>
      </c>
      <c r="K9" s="6">
        <v>1</v>
      </c>
    </row>
    <row r="10" spans="1:11" ht="49.9" customHeight="1" thickBot="1">
      <c r="A10" s="35"/>
      <c r="B10" s="7">
        <v>9</v>
      </c>
      <c r="C10" t="s">
        <v>292</v>
      </c>
      <c r="D10" t="s">
        <v>312</v>
      </c>
      <c r="E10" s="2" t="s">
        <v>373</v>
      </c>
      <c r="F10" s="2" t="s">
        <v>247</v>
      </c>
      <c r="G10" s="2" t="s">
        <v>248</v>
      </c>
      <c r="H10" s="21" t="s">
        <v>233</v>
      </c>
      <c r="I10" s="6">
        <v>4</v>
      </c>
      <c r="J10" s="6">
        <v>4</v>
      </c>
      <c r="K10" s="6">
        <v>4</v>
      </c>
    </row>
    <row r="11" spans="1:11" ht="49.9" customHeight="1" thickBot="1">
      <c r="A11" s="35"/>
      <c r="B11" s="7">
        <v>10</v>
      </c>
      <c r="C11" s="13" t="s">
        <v>293</v>
      </c>
      <c r="D11" s="13" t="s">
        <v>313</v>
      </c>
      <c r="E11" s="12" t="s">
        <v>249</v>
      </c>
      <c r="F11" s="12" t="s">
        <v>250</v>
      </c>
      <c r="G11" s="12" t="s">
        <v>251</v>
      </c>
      <c r="H11" s="22" t="s">
        <v>371</v>
      </c>
      <c r="I11" s="14">
        <v>1</v>
      </c>
      <c r="J11" s="14">
        <v>1</v>
      </c>
      <c r="K11" s="14">
        <v>1</v>
      </c>
    </row>
    <row r="12" spans="1:11" s="13" customFormat="1" ht="49.9" customHeight="1" thickBot="1">
      <c r="A12" s="35"/>
      <c r="B12" s="7">
        <v>11</v>
      </c>
      <c r="C12" t="s">
        <v>294</v>
      </c>
      <c r="D12" s="16" t="s">
        <v>314</v>
      </c>
      <c r="E12" s="2" t="s">
        <v>355</v>
      </c>
      <c r="F12" s="2" t="s">
        <v>360</v>
      </c>
      <c r="G12" s="2" t="s">
        <v>356</v>
      </c>
      <c r="H12" s="2" t="s">
        <v>165</v>
      </c>
      <c r="I12" s="6">
        <v>5</v>
      </c>
      <c r="J12" s="6">
        <v>5</v>
      </c>
      <c r="K12" s="8">
        <v>1</v>
      </c>
    </row>
    <row r="13" spans="1:11" ht="49.9" customHeight="1" thickBot="1">
      <c r="A13" s="35"/>
      <c r="B13" s="7">
        <v>12</v>
      </c>
      <c r="C13" s="26" t="s">
        <v>295</v>
      </c>
      <c r="D13" t="s">
        <v>315</v>
      </c>
      <c r="E13" s="2" t="s">
        <v>253</v>
      </c>
      <c r="F13" s="2" t="s">
        <v>254</v>
      </c>
      <c r="G13" s="2" t="s">
        <v>165</v>
      </c>
      <c r="H13" s="2" t="s">
        <v>165</v>
      </c>
      <c r="I13" s="6">
        <v>1</v>
      </c>
      <c r="J13" s="6">
        <v>1</v>
      </c>
      <c r="K13" s="8">
        <v>1</v>
      </c>
    </row>
    <row r="14" spans="1:11" ht="49.9" customHeight="1" thickBot="1">
      <c r="A14" s="35"/>
      <c r="B14" s="7">
        <v>13</v>
      </c>
      <c r="C14" t="s">
        <v>296</v>
      </c>
      <c r="D14" t="s">
        <v>316</v>
      </c>
      <c r="E14" s="2" t="s">
        <v>255</v>
      </c>
      <c r="F14" s="2" t="s">
        <v>256</v>
      </c>
      <c r="G14" s="2" t="s">
        <v>165</v>
      </c>
      <c r="H14" s="2" t="s">
        <v>165</v>
      </c>
      <c r="I14" s="6">
        <v>1</v>
      </c>
      <c r="J14" s="6">
        <v>1</v>
      </c>
      <c r="K14" s="8">
        <v>1</v>
      </c>
    </row>
    <row r="15" spans="1:11" ht="49.9" customHeight="1" thickBot="1">
      <c r="A15" s="35"/>
      <c r="B15" s="7">
        <v>14</v>
      </c>
      <c r="C15" t="s">
        <v>297</v>
      </c>
      <c r="D15" t="s">
        <v>317</v>
      </c>
      <c r="E15" s="2" t="s">
        <v>264</v>
      </c>
      <c r="F15" s="2" t="s">
        <v>384</v>
      </c>
      <c r="G15" s="2" t="s">
        <v>265</v>
      </c>
      <c r="H15" s="2" t="s">
        <v>165</v>
      </c>
      <c r="I15" s="6">
        <v>5</v>
      </c>
      <c r="J15" s="6">
        <v>5</v>
      </c>
      <c r="K15" s="8">
        <v>2</v>
      </c>
    </row>
    <row r="16" spans="1:11" ht="49.9" customHeight="1" thickBot="1">
      <c r="A16" s="35"/>
      <c r="B16" s="7">
        <v>15</v>
      </c>
      <c r="C16" s="13" t="s">
        <v>298</v>
      </c>
      <c r="D16" s="13" t="s">
        <v>318</v>
      </c>
      <c r="E16" s="12" t="s">
        <v>249</v>
      </c>
      <c r="F16" s="12" t="s">
        <v>250</v>
      </c>
      <c r="G16" s="12" t="s">
        <v>251</v>
      </c>
      <c r="H16" s="22" t="s">
        <v>250</v>
      </c>
      <c r="I16" s="14">
        <v>1</v>
      </c>
      <c r="J16" s="14">
        <v>1</v>
      </c>
      <c r="K16" s="14">
        <v>1</v>
      </c>
    </row>
    <row r="17" spans="1:11" s="13" customFormat="1" ht="49.9" customHeight="1" thickBot="1">
      <c r="A17" s="35"/>
      <c r="B17" s="7">
        <v>16</v>
      </c>
      <c r="C17" s="13" t="s">
        <v>299</v>
      </c>
      <c r="D17" s="13" t="s">
        <v>319</v>
      </c>
      <c r="E17" s="12" t="s">
        <v>266</v>
      </c>
      <c r="F17" s="12" t="s">
        <v>267</v>
      </c>
      <c r="G17" s="12" t="s">
        <v>268</v>
      </c>
      <c r="H17" s="22" t="s">
        <v>372</v>
      </c>
      <c r="I17" s="14">
        <v>1</v>
      </c>
      <c r="J17" s="14">
        <v>1</v>
      </c>
      <c r="K17" s="14">
        <v>1</v>
      </c>
    </row>
    <row r="18" spans="1:11" s="13" customFormat="1" ht="49.9" customHeight="1" thickBot="1">
      <c r="A18" s="35"/>
      <c r="B18" s="7">
        <v>17</v>
      </c>
      <c r="C18" t="s">
        <v>300</v>
      </c>
      <c r="D18" t="s">
        <v>320</v>
      </c>
      <c r="E18" s="2" t="s">
        <v>271</v>
      </c>
      <c r="F18" s="2" t="s">
        <v>272</v>
      </c>
      <c r="G18" s="2" t="s">
        <v>273</v>
      </c>
      <c r="H18" s="21" t="s">
        <v>374</v>
      </c>
      <c r="I18" s="6">
        <v>1</v>
      </c>
      <c r="J18" s="6">
        <v>1</v>
      </c>
      <c r="K18" s="6">
        <v>1</v>
      </c>
    </row>
    <row r="19" spans="1:11" ht="49.9" customHeight="1" thickBot="1">
      <c r="A19" s="35"/>
      <c r="B19" s="7">
        <v>18</v>
      </c>
      <c r="C19" t="s">
        <v>301</v>
      </c>
      <c r="D19" t="s">
        <v>321</v>
      </c>
      <c r="E19" s="2" t="s">
        <v>276</v>
      </c>
      <c r="F19" s="2" t="s">
        <v>277</v>
      </c>
      <c r="G19" s="2" t="s">
        <v>165</v>
      </c>
      <c r="H19" s="2" t="s">
        <v>165</v>
      </c>
      <c r="I19" s="6">
        <v>1</v>
      </c>
      <c r="J19" s="6">
        <v>1</v>
      </c>
      <c r="K19" s="6">
        <v>1</v>
      </c>
    </row>
    <row r="20" spans="1:11" ht="49.9" customHeight="1" thickBot="1">
      <c r="A20" s="35"/>
      <c r="B20" s="7">
        <v>19</v>
      </c>
      <c r="C20" t="s">
        <v>302</v>
      </c>
      <c r="D20" t="s">
        <v>322</v>
      </c>
      <c r="E20" s="2" t="s">
        <v>278</v>
      </c>
      <c r="F20" s="2" t="s">
        <v>279</v>
      </c>
      <c r="G20" s="2" t="s">
        <v>280</v>
      </c>
      <c r="H20" s="21" t="s">
        <v>375</v>
      </c>
      <c r="I20" s="6">
        <v>1</v>
      </c>
      <c r="J20" s="6">
        <v>1</v>
      </c>
      <c r="K20" s="6">
        <v>1</v>
      </c>
    </row>
    <row r="21" spans="1:11" ht="49.9" customHeight="1" thickBot="1">
      <c r="A21" s="35"/>
      <c r="B21" s="7">
        <v>20</v>
      </c>
      <c r="C21" t="s">
        <v>303</v>
      </c>
      <c r="D21" t="s">
        <v>323</v>
      </c>
      <c r="E21" s="2" t="s">
        <v>276</v>
      </c>
      <c r="F21" s="2" t="s">
        <v>277</v>
      </c>
      <c r="G21" s="2" t="s">
        <v>165</v>
      </c>
      <c r="H21" s="2" t="s">
        <v>165</v>
      </c>
      <c r="I21" s="6">
        <v>1</v>
      </c>
      <c r="J21" s="6">
        <v>1</v>
      </c>
      <c r="K21" s="9">
        <v>1</v>
      </c>
    </row>
    <row r="22" spans="1:11" ht="49.9" customHeight="1" thickBot="1">
      <c r="A22" s="35"/>
      <c r="B22" s="7">
        <v>21</v>
      </c>
      <c r="C22" s="27" t="s">
        <v>289</v>
      </c>
      <c r="D22" s="16" t="s">
        <v>365</v>
      </c>
      <c r="E22" s="2" t="s">
        <v>238</v>
      </c>
      <c r="F22" s="2" t="s">
        <v>364</v>
      </c>
      <c r="G22" s="2" t="s">
        <v>165</v>
      </c>
      <c r="H22" s="2" t="s">
        <v>165</v>
      </c>
      <c r="I22" s="6">
        <v>2</v>
      </c>
      <c r="J22" s="6">
        <v>0</v>
      </c>
      <c r="K22" s="6">
        <v>0</v>
      </c>
    </row>
    <row r="23" spans="1:11" ht="49.9" customHeight="1" thickBot="1">
      <c r="A23" s="35" t="s">
        <v>304</v>
      </c>
      <c r="B23" s="7">
        <v>22</v>
      </c>
      <c r="C23" t="s">
        <v>324</v>
      </c>
      <c r="D23" t="s">
        <v>325</v>
      </c>
      <c r="E23" s="2" t="s">
        <v>220</v>
      </c>
      <c r="F23" s="2" t="s">
        <v>221</v>
      </c>
      <c r="G23" s="2" t="s">
        <v>165</v>
      </c>
      <c r="H23" s="2" t="s">
        <v>165</v>
      </c>
      <c r="I23" s="6">
        <v>3</v>
      </c>
      <c r="J23" s="6">
        <v>3</v>
      </c>
      <c r="K23" s="9">
        <v>3</v>
      </c>
    </row>
    <row r="24" spans="1:11" ht="49.9" customHeight="1" thickBot="1">
      <c r="A24" s="35"/>
      <c r="B24" s="7">
        <v>23</v>
      </c>
      <c r="C24" t="s">
        <v>326</v>
      </c>
      <c r="D24" t="s">
        <v>327</v>
      </c>
      <c r="E24" s="2" t="s">
        <v>227</v>
      </c>
      <c r="F24" s="2" t="s">
        <v>228</v>
      </c>
      <c r="G24" s="2" t="s">
        <v>165</v>
      </c>
      <c r="H24" s="2" t="s">
        <v>165</v>
      </c>
      <c r="I24" s="6">
        <v>1</v>
      </c>
      <c r="J24" s="6">
        <v>1</v>
      </c>
      <c r="K24" s="6">
        <v>1</v>
      </c>
    </row>
    <row r="25" spans="1:11" ht="49.9" customHeight="1" thickBot="1">
      <c r="A25" s="35"/>
      <c r="B25" s="7">
        <v>24</v>
      </c>
      <c r="C25" t="s">
        <v>328</v>
      </c>
      <c r="D25" t="s">
        <v>329</v>
      </c>
      <c r="E25" s="2" t="s">
        <v>227</v>
      </c>
      <c r="F25" s="2" t="s">
        <v>228</v>
      </c>
      <c r="G25" s="2" t="s">
        <v>165</v>
      </c>
      <c r="H25" s="2" t="s">
        <v>165</v>
      </c>
      <c r="I25" s="6">
        <v>1</v>
      </c>
      <c r="J25" s="6">
        <v>1</v>
      </c>
      <c r="K25" s="6">
        <v>1</v>
      </c>
    </row>
    <row r="26" spans="1:11" ht="49.9" customHeight="1" thickBot="1">
      <c r="A26" s="35"/>
      <c r="B26" s="7">
        <v>25</v>
      </c>
      <c r="C26" t="s">
        <v>330</v>
      </c>
      <c r="D26" t="s">
        <v>331</v>
      </c>
      <c r="E26" s="2" t="s">
        <v>234</v>
      </c>
      <c r="F26" s="2" t="s">
        <v>235</v>
      </c>
      <c r="G26" s="2" t="s">
        <v>165</v>
      </c>
      <c r="H26" s="2" t="s">
        <v>165</v>
      </c>
      <c r="I26" s="6">
        <v>1</v>
      </c>
      <c r="J26" s="6">
        <v>1</v>
      </c>
      <c r="K26" s="6">
        <v>1</v>
      </c>
    </row>
    <row r="27" spans="1:11" s="13" customFormat="1" ht="49.9" customHeight="1" thickBot="1">
      <c r="A27" s="35"/>
      <c r="B27" s="7">
        <v>26</v>
      </c>
      <c r="C27" s="28" t="s">
        <v>332</v>
      </c>
      <c r="D27" s="13" t="s">
        <v>333</v>
      </c>
      <c r="E27" s="12" t="s">
        <v>236</v>
      </c>
      <c r="F27" s="12" t="s">
        <v>237</v>
      </c>
      <c r="G27" s="12" t="s">
        <v>165</v>
      </c>
      <c r="H27" s="12" t="s">
        <v>165</v>
      </c>
      <c r="I27" s="14">
        <v>1</v>
      </c>
      <c r="J27" s="14">
        <v>1</v>
      </c>
      <c r="K27" s="14">
        <v>1</v>
      </c>
    </row>
    <row r="28" spans="1:11" s="13" customFormat="1" ht="49.9" customHeight="1" thickBot="1">
      <c r="A28" s="35"/>
      <c r="B28" s="7">
        <v>27</v>
      </c>
      <c r="C28" s="28" t="s">
        <v>334</v>
      </c>
      <c r="D28" s="13" t="s">
        <v>335</v>
      </c>
      <c r="E28" s="12" t="s">
        <v>239</v>
      </c>
      <c r="F28" s="12" t="s">
        <v>240</v>
      </c>
      <c r="G28" s="12" t="s">
        <v>165</v>
      </c>
      <c r="H28" s="12" t="s">
        <v>165</v>
      </c>
      <c r="I28" s="14">
        <v>1</v>
      </c>
      <c r="J28" s="14">
        <v>1</v>
      </c>
      <c r="K28" s="15">
        <v>1</v>
      </c>
    </row>
    <row r="29" spans="1:11" ht="49.9" customHeight="1" thickBot="1">
      <c r="A29" s="35"/>
      <c r="B29" s="7">
        <v>28</v>
      </c>
      <c r="C29" t="s">
        <v>336</v>
      </c>
      <c r="D29" t="s">
        <v>337</v>
      </c>
      <c r="E29" s="2" t="s">
        <v>245</v>
      </c>
      <c r="F29" s="2" t="s">
        <v>246</v>
      </c>
      <c r="G29" s="2" t="s">
        <v>165</v>
      </c>
      <c r="H29" s="2" t="s">
        <v>165</v>
      </c>
      <c r="I29" s="6">
        <v>3</v>
      </c>
      <c r="J29" s="6">
        <v>3</v>
      </c>
      <c r="K29" s="9">
        <v>3</v>
      </c>
    </row>
    <row r="30" spans="1:11" ht="49.9" customHeight="1" thickBot="1">
      <c r="A30" s="35"/>
      <c r="B30" s="7">
        <v>29</v>
      </c>
      <c r="C30" t="s">
        <v>338</v>
      </c>
      <c r="D30" t="s">
        <v>339</v>
      </c>
      <c r="E30" s="2" t="s">
        <v>252</v>
      </c>
      <c r="F30" s="2" t="s">
        <v>361</v>
      </c>
      <c r="G30" s="2" t="s">
        <v>165</v>
      </c>
      <c r="H30" s="2" t="s">
        <v>165</v>
      </c>
      <c r="I30" s="6">
        <v>8</v>
      </c>
      <c r="J30" s="6">
        <v>8</v>
      </c>
      <c r="K30" s="9">
        <v>5</v>
      </c>
    </row>
    <row r="31" spans="1:11" s="13" customFormat="1" ht="49.9" customHeight="1" thickBot="1">
      <c r="A31" s="35"/>
      <c r="B31" s="7">
        <v>30</v>
      </c>
      <c r="C31" s="13" t="s">
        <v>340</v>
      </c>
      <c r="D31" s="13" t="s">
        <v>341</v>
      </c>
      <c r="E31" s="12" t="s">
        <v>274</v>
      </c>
      <c r="F31" s="12" t="s">
        <v>275</v>
      </c>
      <c r="G31" s="12" t="s">
        <v>165</v>
      </c>
      <c r="H31" s="12" t="s">
        <v>165</v>
      </c>
      <c r="I31" s="14">
        <v>1</v>
      </c>
      <c r="J31" s="14">
        <v>1</v>
      </c>
      <c r="K31" s="15">
        <v>1</v>
      </c>
    </row>
    <row r="32" spans="1:11" s="13" customFormat="1" ht="49.9" customHeight="1" thickBot="1">
      <c r="A32" s="35" t="s">
        <v>343</v>
      </c>
      <c r="B32" s="7">
        <v>31</v>
      </c>
      <c r="C32" s="13" t="s">
        <v>257</v>
      </c>
      <c r="D32" s="18" t="s">
        <v>344</v>
      </c>
      <c r="E32" s="12" t="s">
        <v>258</v>
      </c>
      <c r="F32" s="12" t="s">
        <v>259</v>
      </c>
      <c r="G32" s="12" t="s">
        <v>165</v>
      </c>
      <c r="H32" s="12" t="s">
        <v>165</v>
      </c>
      <c r="I32" s="14">
        <v>1</v>
      </c>
      <c r="J32" s="14">
        <v>1</v>
      </c>
      <c r="K32" s="15">
        <v>1</v>
      </c>
    </row>
    <row r="33" spans="1:13" ht="49.9" customHeight="1" thickBot="1">
      <c r="A33" s="35"/>
      <c r="B33" s="7">
        <v>32</v>
      </c>
      <c r="C33" t="s">
        <v>260</v>
      </c>
      <c r="D33" t="s">
        <v>345</v>
      </c>
      <c r="E33" s="2" t="s">
        <v>261</v>
      </c>
      <c r="F33" s="2" t="s">
        <v>262</v>
      </c>
      <c r="G33" s="2" t="s">
        <v>263</v>
      </c>
      <c r="H33" s="21" t="s">
        <v>376</v>
      </c>
      <c r="I33" s="6">
        <v>1</v>
      </c>
      <c r="J33" s="6">
        <v>1</v>
      </c>
      <c r="K33" s="9">
        <v>1</v>
      </c>
    </row>
    <row r="34" spans="1:13" s="13" customFormat="1" ht="49.9" customHeight="1" thickBot="1">
      <c r="A34" s="35"/>
      <c r="B34" s="7">
        <v>33</v>
      </c>
      <c r="C34" s="13" t="s">
        <v>269</v>
      </c>
      <c r="D34" s="13" t="s">
        <v>346</v>
      </c>
      <c r="E34" s="12" t="s">
        <v>270</v>
      </c>
      <c r="F34" s="12" t="s">
        <v>362</v>
      </c>
      <c r="G34" s="12" t="s">
        <v>165</v>
      </c>
      <c r="H34" s="12" t="s">
        <v>165</v>
      </c>
      <c r="I34" s="14">
        <v>1</v>
      </c>
      <c r="J34" s="14">
        <v>1</v>
      </c>
      <c r="K34" s="15">
        <v>1</v>
      </c>
    </row>
    <row r="35" spans="1:13">
      <c r="I35" s="7">
        <f>SUM(I2:I34)</f>
        <v>74</v>
      </c>
      <c r="J35" s="7">
        <f>SUM(J2:J34)</f>
        <v>66</v>
      </c>
      <c r="K35" s="7">
        <f>SUM(K2:K34)</f>
        <v>56</v>
      </c>
      <c r="L35">
        <v>6</v>
      </c>
      <c r="M35">
        <v>2</v>
      </c>
    </row>
    <row r="36" spans="1:13">
      <c r="I36" s="7">
        <f>SUM(I2:I22)</f>
        <v>51</v>
      </c>
      <c r="J36">
        <f>SUM(J2:J22)</f>
        <v>43</v>
      </c>
      <c r="K36">
        <f>SUM(K2:K22)</f>
        <v>36</v>
      </c>
      <c r="L36">
        <v>6</v>
      </c>
      <c r="M36">
        <v>2</v>
      </c>
    </row>
    <row r="37" spans="1:13">
      <c r="I37" s="13">
        <f>SUM(I23:I31)</f>
        <v>20</v>
      </c>
      <c r="J37" s="13">
        <f>SUM(J23:J31)</f>
        <v>20</v>
      </c>
      <c r="K37" s="13">
        <f>SUM(K23:K31)</f>
        <v>17</v>
      </c>
      <c r="L37">
        <v>0</v>
      </c>
      <c r="M37">
        <v>0</v>
      </c>
    </row>
    <row r="38" spans="1:13">
      <c r="I38" s="13">
        <v>3</v>
      </c>
      <c r="J38" s="13">
        <v>3</v>
      </c>
      <c r="K38" s="13">
        <v>3</v>
      </c>
      <c r="L38" s="13">
        <v>0</v>
      </c>
      <c r="M38" s="13">
        <v>0</v>
      </c>
    </row>
  </sheetData>
  <autoFilter ref="A1:I35" xr:uid="{C61BDAEF-18B9-4FEC-8492-6D3FE16B4C6E}"/>
  <mergeCells count="3">
    <mergeCell ref="A2:A22"/>
    <mergeCell ref="A32:A34"/>
    <mergeCell ref="A23:A31"/>
  </mergeCells>
  <phoneticPr fontId="1" type="noConversion"/>
  <hyperlinks>
    <hyperlink ref="C22" r:id="rId1" xr:uid="{1E736B97-FF3F-4EA5-816B-8035D0E48CA4}"/>
    <hyperlink ref="D12" r:id="rId2" location="issuecomment-1715347080" xr:uid="{D75EE847-A3C7-4600-8B4F-6AF9B6063059}"/>
    <hyperlink ref="D32" r:id="rId3" xr:uid="{5DC164E9-AD1F-4A6C-BB2F-81A5D0E080D5}"/>
    <hyperlink ref="D22" r:id="rId4" location="issuecomment-1715341983 （FP Case）" xr:uid="{A8A6B37C-59E4-4930-BFB2-A4ED9B523E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torch</vt:lpstr>
      <vt:lpstr>tensorflow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2024-09-12T14:01:17Z</dcterms:modified>
</cp:coreProperties>
</file>